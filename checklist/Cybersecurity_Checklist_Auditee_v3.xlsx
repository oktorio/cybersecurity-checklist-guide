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1de2149f2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 v3" sheetId="1" r:id="Rc949aebf0704465b"/>
    <x:sheet xmlns:r="http://schemas.openxmlformats.org/officeDocument/2006/relationships" name="Dashboard" sheetId="2" r:id="R3ca2ce2252cc42d0"/>
    <x:sheet xmlns:r="http://schemas.openxmlformats.org/officeDocument/2006/relationships" name="Reference Map" sheetId="3" r:id="R6974af50373c45f0"/>
    <x:sheet xmlns:r="http://schemas.openxmlformats.org/officeDocument/2006/relationships" name="Instructions" sheetId="4" r:id="Rd0184474905d46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44546A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95c6787d4a4e88" /><Relationship Type="http://schemas.openxmlformats.org/officeDocument/2006/relationships/theme" Target="/xl/theme/theme1.xml" Id="R1ec869f8abed445f" /><Relationship Type="http://schemas.openxmlformats.org/officeDocument/2006/relationships/sharedStrings" Target="/xl/sharedStrings.xml" Id="R1629ab431b554a52" /><Relationship Type="http://schemas.openxmlformats.org/officeDocument/2006/relationships/worksheet" Target="/xl/worksheets/sheet1.xml" Id="Rc949aebf0704465b" /><Relationship Type="http://schemas.openxmlformats.org/officeDocument/2006/relationships/worksheet" Target="/xl/worksheets/sheet2.xml" Id="R3ca2ce2252cc42d0" /><Relationship Type="http://schemas.openxmlformats.org/officeDocument/2006/relationships/worksheet" Target="/xl/worksheets/sheet3.xml" Id="R6974af50373c45f0" /><Relationship Type="http://schemas.openxmlformats.org/officeDocument/2006/relationships/worksheet" Target="/xl/worksheets/sheet4.xml" Id="Rd0184474905d46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c5a8ee38a24f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Controls by NIST CSF 2.0 Function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Controls</c:v>
          </c:tx>
          <c:cat>
            <c:strRef>
              <c:f>'Dashboard'!$D$5:$D$10</c:f>
              <c:strCache>
                <c:ptCount val="0"/>
              </c:strCache>
            </c:strRef>
          </c:cat>
          <c:val>
            <c:numRef>
              <c:f>'Dashboard'!$E$5:$E$10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c5a8ee38a24fe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yberChecklistV3" displayName="CyberChecklistV3" ref="A1:N126" headerRowCount="1" totalsRowCount="0" totalsRowShown="0">
  <x:tableColumns count="14">
    <x:tableColumn id="1" name="ID"/>
    <x:tableColumn id="2" name="Function"/>
    <x:tableColumn id="3" name="Domain / Subdomain"/>
    <x:tableColumn id="4" name="Audit Question (English)"/>
    <x:tableColumn id="5" name="Pertanyaan Audit (Bahasa Indonesia)"/>
    <x:tableColumn id="6" name="Expected Evidence / Bukti"/>
    <x:tableColumn id="7" name="Audit / Test Procedure"/>
    <x:tableColumn id="8" name="Primary Regulatory Reference"/>
    <x:tableColumn id="9" name="Framework Mapping"/>
    <x:tableColumn id="10" name="Applicability"/>
    <x:tableColumn id="11" name="Default Risk"/>
    <x:tableColumn id="12" name="Result"/>
    <x:tableColumn id="13" name="Auditor Notes"/>
    <x:tableColumn id="14" name="Finding 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enceMapV3" displayName="ReferenceMapV3" ref="A1:E25" headerRowCount="1" totalsRowCount="0" totalsRowShown="0">
  <x:tableColumns count="5">
    <x:tableColumn id="1" name="Status"/>
    <x:tableColumn id="2" name="Regulation / Framework"/>
    <x:tableColumn id="3" name="Scope / Use"/>
    <x:tableColumn id="4" name="Notes"/>
    <x:tableColumn id="5" name="Official / Primary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d913eece8949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d9baa97ac254b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dc69e13fbe43f4" /></Relationships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4" max="4" width="24" hidden="0" customWidth="1"/>
    <x:col min="5" max="5" width="14" hidden="0" customWidth="1"/>
    <x:col min="6" max="6" width="14" hidden="0" customWidth="1"/>
  </x:cols>
  <x:sheetData>
    <x:row r="1" ht="30" customHeight="1">
      <x:c r="A1" s="18" t="str">
        <x:v>Cybersecurity Checklist for Auditee — v3 Dashboard</x:v>
      </x:c>
      <x:c r="B1" s="18"/>
      <x:c r="C1" s="18"/>
      <x:c r="D1" s="18"/>
      <x:c r="E1" s="18"/>
      <x:c r="F1" s="18"/>
      <x:c r="G1" s="18"/>
      <x:c r="H1" s="18"/>
    </x:row>
    <x:row r="2">
      <x:c r="A2" s="22" t="str">
        <x:v>Regulatory baseline reviewed: 15 August 2026 | 125 audit controls | NIST CSF 2.0 taxonomy</x:v>
      </x:c>
      <x:c r="B2" s="22"/>
      <x:c r="C2" s="22"/>
      <x:c r="D2" s="22"/>
      <x:c r="E2" s="22"/>
      <x:c r="F2" s="22"/>
      <x:c r="G2" s="22"/>
      <x:c r="H2" s="22"/>
    </x:row>
    <x:row r="4">
      <x:c r="A4" s="30" t="str">
        <x:v>KPI</x:v>
      </x:c>
      <x:c r="B4" s="30" t="str">
        <x:v>Value</x:v>
      </x:c>
      <x:c r="D4" s="25" t="str">
        <x:v>Function</x:v>
      </x:c>
      <x:c r="E4" s="25" t="str">
        <x:v>Controls</x:v>
      </x:c>
      <x:c r="F4" s="25" t="str">
        <x:v>Non-Comply</x:v>
      </x:c>
    </x:row>
    <x:row r="5">
      <x:c r="A5" s="31" t="str">
        <x:v>Total Controls</x:v>
      </x:c>
      <x:c r="B5" s="12" t="n">
        <x:f>COUNTA('Checklist v3'!$A$2:$A$126)</x:f>
        <x:v>125</x:v>
      </x:c>
      <x:c r="D5" t="str">
        <x:v>GV — Govern</x:v>
      </x:c>
      <x:c r="E5" t="n">
        <x:f>COUNTIF('Checklist v3'!$B$2:$B$126,"GV")</x:f>
        <x:v>20</x:v>
      </x:c>
      <x:c r="F5" t="n">
        <x:f>COUNTIFS('Checklist v3'!$B$2:$B$126,"GV",'Checklist v3'!$L$2:$L$126,"Non-Comply")</x:f>
        <x:v>0</x:v>
      </x:c>
    </x:row>
    <x:row r="6">
      <x:c r="A6" s="31" t="str">
        <x:v>Not Tested</x:v>
      </x:c>
      <x:c r="B6" s="12" t="n">
        <x:f>COUNTIF('Checklist v3'!$L$2:$L$126,"Not Tested")</x:f>
        <x:v>125</x:v>
      </x:c>
      <x:c r="D6" t="str">
        <x:v>ID — Identify</x:v>
      </x:c>
      <x:c r="E6" t="n">
        <x:f>COUNTIF('Checklist v3'!$B$2:$B$126,"ID")</x:f>
        <x:v>18</x:v>
      </x:c>
      <x:c r="F6" t="n">
        <x:f>COUNTIFS('Checklist v3'!$B$2:$B$126,"ID",'Checklist v3'!$L$2:$L$126,"Non-Comply")</x:f>
        <x:v>0</x:v>
      </x:c>
    </x:row>
    <x:row r="7">
      <x:c r="A7" s="31" t="str">
        <x:v>Comply</x:v>
      </x:c>
      <x:c r="B7" s="12" t="n">
        <x:f>COUNTIF('Checklist v3'!$L$2:$L$126,"Comply")</x:f>
        <x:v>0</x:v>
      </x:c>
      <x:c r="D7" t="str">
        <x:v>PR — Protect</x:v>
      </x:c>
      <x:c r="E7" t="n">
        <x:f>COUNTIF('Checklist v3'!$B$2:$B$126,"PR")</x:f>
        <x:v>39</x:v>
      </x:c>
      <x:c r="F7" t="n">
        <x:f>COUNTIFS('Checklist v3'!$B$2:$B$126,"PR",'Checklist v3'!$L$2:$L$126,"Non-Comply")</x:f>
        <x:v>0</x:v>
      </x:c>
    </x:row>
    <x:row r="8">
      <x:c r="A8" s="31" t="str">
        <x:v>Partially Comply</x:v>
      </x:c>
      <x:c r="B8" s="12" t="n">
        <x:f>COUNTIF('Checklist v3'!$L$2:$L$126,"Partially Comply")</x:f>
        <x:v>0</x:v>
      </x:c>
      <x:c r="D8" t="str">
        <x:v>DE — Detect</x:v>
      </x:c>
      <x:c r="E8" t="n">
        <x:f>COUNTIF('Checklist v3'!$B$2:$B$126,"DE")</x:f>
        <x:v>18</x:v>
      </x:c>
      <x:c r="F8" t="n">
        <x:f>COUNTIFS('Checklist v3'!$B$2:$B$126,"DE",'Checklist v3'!$L$2:$L$126,"Non-Comply")</x:f>
        <x:v>0</x:v>
      </x:c>
    </x:row>
    <x:row r="9">
      <x:c r="A9" s="31" t="str">
        <x:v>Non-Comply</x:v>
      </x:c>
      <x:c r="B9" s="12" t="n">
        <x:f>COUNTIF('Checklist v3'!$L$2:$L$126,"Non-Comply")</x:f>
        <x:v>0</x:v>
      </x:c>
      <x:c r="D9" t="str">
        <x:v>RS — Respond</x:v>
      </x:c>
      <x:c r="E9" t="n">
        <x:f>COUNTIF('Checklist v3'!$B$2:$B$126,"RS")</x:f>
        <x:v>16</x:v>
      </x:c>
      <x:c r="F9" t="n">
        <x:f>COUNTIFS('Checklist v3'!$B$2:$B$126,"RS",'Checklist v3'!$L$2:$L$126,"Non-Comply")</x:f>
        <x:v>0</x:v>
      </x:c>
    </x:row>
    <x:row r="10">
      <x:c r="A10" s="31" t="str">
        <x:v>N/A</x:v>
      </x:c>
      <x:c r="B10" s="12" t="n">
        <x:f>COUNTIF('Checklist v3'!$L$2:$L$126,"N/A")</x:f>
        <x:v>0</x:v>
      </x:c>
      <x:c r="D10" t="str">
        <x:v>RC — Recover</x:v>
      </x:c>
      <x:c r="E10" t="n">
        <x:f>COUNTIF('Checklist v3'!$B$2:$B$126,"RC")</x:f>
        <x:v>14</x:v>
      </x:c>
      <x:c r="F10" t="n">
        <x:f>COUNTIFS('Checklist v3'!$B$2:$B$126,"RC",'Checklist v3'!$L$2:$L$126,"Non-Comply")</x:f>
        <x:v>0</x:v>
      </x:c>
    </x:row>
    <x:row r="11">
      <x:c r="A11" s="31" t="str">
        <x:v>Assessed Controls</x:v>
      </x:c>
      <x:c r="B11" s="12" t="n">
        <x:f>COUNTIF('Checklist v3'!$L$2:$L$126,"&lt;&gt;Not Tested")-COUNTIF('Checklist v3'!$L$2:$L$126,"N/A")</x:f>
        <x:v>0</x:v>
      </x:c>
    </x:row>
    <x:row r="12">
      <x:c r="A12" s="31" t="str">
        <x:v>Critical/High Non-Comply</x:v>
      </x:c>
      <x:c r="B12" s="12" t="n">
        <x:f>COUNTIFS('Checklist v3'!$L$2:$L$126,"Non-Comply",'Checklist v3'!$K$2:$K$126,"Critical")+COUNTIFS('Checklist v3'!$L$2:$L$126,"Non-Comply",'Checklist v3'!$K$2:$K$126,"High")</x:f>
        <x:v>0</x:v>
      </x:c>
    </x:row>
    <x:row r="13">
      <x:c r="D13" s="25" t="str">
        <x:v>Result</x:v>
      </x:c>
      <x:c r="E13" s="25" t="str">
        <x:v>Count</x:v>
      </x:c>
    </x:row>
    <x:row r="14">
      <x:c r="D14" t="str">
        <x:v>Comply</x:v>
      </x:c>
      <x:c r="E14" t="n">
        <x:f>COUNTIF('Checklist v3'!$L$2:$L$126,"Comply")</x:f>
        <x:v>0</x:v>
      </x:c>
    </x:row>
    <x:row r="15">
      <x:c r="D15" t="str">
        <x:v>Partially Comply</x:v>
      </x:c>
      <x:c r="E15" t="n">
        <x:f>COUNTIF('Checklist v3'!$L$2:$L$126,"Partially Comply")</x:f>
        <x:v>0</x:v>
      </x:c>
    </x:row>
    <x:row r="16">
      <x:c r="D16" t="str">
        <x:v>Non-Comply</x:v>
      </x:c>
      <x:c r="E16" t="n">
        <x:f>COUNTIF('Checklist v3'!$L$2:$L$126,"Non-Comply")</x:f>
        <x:v>0</x:v>
      </x:c>
    </x:row>
    <x:row r="17">
      <x:c r="D17" t="str">
        <x:v>Not Tested</x:v>
      </x:c>
      <x:c r="E17" t="n">
        <x:f>COUNTIF('Checklist v3'!$L$2:$L$126,"Not Tested")</x:f>
        <x:v>125</x:v>
      </x:c>
    </x:row>
    <x:row r="18">
      <x:c r="D18" t="str">
        <x:v>N/A</x:v>
      </x:c>
      <x:c r="E18" t="n">
        <x:f>COUNTIF('Checklist v3'!$L$2:$L$126,"N/A")</x:f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7d9baa97ac254b31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6" hidden="0" customWidth="1"/>
    <x:col min="4" max="4" width="46" hidden="0" customWidth="1"/>
    <x:col min="5" max="5" width="58" hidden="0" customWidth="1"/>
  </x:cols>
  <x:sheetData>
    <x:row r="1" ht="30" customHeight="1">
      <x:c r="A1" s="6" t="str">
        <x:v>Status</x:v>
      </x:c>
      <x:c r="B1" s="6" t="str">
        <x:v>Regulation / Framework</x:v>
      </x:c>
      <x:c r="C1" s="6" t="str">
        <x:v>Scope / Use</x:v>
      </x:c>
      <x:c r="D1" s="6" t="str">
        <x:v>Notes</x:v>
      </x:c>
      <x:c r="E1" s="6" t="str">
        <x:v>Official / Primary Source</x:v>
      </x:c>
    </x:row>
    <x:row r="2" ht="52" customHeight="1">
      <x:c r="A2" s="14" t="str">
        <x:v>CURRENT / PRIMARY</x:v>
      </x:c>
      <x:c r="B2" s="14" t="str">
        <x:v>PADK OJK No. 1 Tahun 2026 — Penyelenggaraan Teknologi Informasi oleh Bank Umum</x:v>
      </x:c>
      <x:c r="C2" s="14" t="str">
        <x:v>All commercial banks; IT governance, architecture/strategy, IT risk/security, PPJTI, overseas processing, data/PDP, internal control/audit, reporting.</x:v>
      </x:c>
      <x:c r="D2" s="14" t="str">
        <x:v>Effective 1 Mar 2026; repeals SEOJK 21/SEOJK.03/2017.</x:v>
      </x:c>
      <x:c r="E2" s="14" t="str">
        <x:v>https://ojk.go.id/id/regulasi/Pages/PADK-1-Tahun-2026-Penyelenggaraan-Teknologi-Informasi-oleh-Bank-Umum.aspx</x:v>
      </x:c>
    </x:row>
    <x:row r="3" ht="52" customHeight="1">
      <x:c r="A3" s="14" t="str">
        <x:v>CURRENT / PRIMARY</x:v>
      </x:c>
      <x:c r="B3" s="14" t="str">
        <x:v>POJK No. 11/POJK.03/2022 — Penyelenggaraan Teknologi Informasi oleh Bank Umum</x:v>
      </x:c>
      <x:c r="C3" s="14" t="str">
        <x:v>Principal OJK regulation underpinning IT implementation by commercial banks.</x:v>
      </x:c>
      <x:c r="D3" s="14" t="str">
        <x:v>Use together with PADK OJK No. 1 Tahun 2026.</x:v>
      </x:c>
      <x:c r="E3" s="14" t="str">
        <x:v>https://ojk.go.id/id/regulasi/Pages/Penyelenggaraan-Teknologi-Informasi-Oleh-Bank-Umum.aspx</x:v>
      </x:c>
    </x:row>
    <x:row r="4" ht="52" customHeight="1">
      <x:c r="A4" s="14" t="str">
        <x:v>CURRENT / PRIMARY</x:v>
      </x:c>
      <x:c r="B4" s="14" t="str">
        <x:v>SEOJK No. 29/SEOJK.03/2022 — Ketahanan dan Keamanan Siber Bagi Bank Umum</x:v>
      </x:c>
      <x:c r="C4" s="14" t="str">
        <x:v>Cyber inherent risk, maturity, protection/detection/response/recovery, testing and incident reporting.</x:v>
      </x:c>
      <x:c r="D4" s="14" t="str">
        <x:v>OJK: initial incident notification ≤24h; complete cyber incident report ≤5 working days; scenario-test report ≤10 working days after test report completion.</x:v>
      </x:c>
      <x:c r="E4" s="14" t="str">
        <x:v>https://www.ojk.go.id/id/regulasi/Pages/Ketahanan-dan-Keamanan-Siber-Bagi-Bank-Umum.aspx</x:v>
      </x:c>
    </x:row>
    <x:row r="5" ht="52" customHeight="1">
      <x:c r="A5" s="14" t="str">
        <x:v>CURRENT / PRIMARY</x:v>
      </x:c>
      <x:c r="B5" s="14" t="str">
        <x:v>SEOJK No. 24/SEOJK.03/2023 — Penilaian Tingkat Maturitas Digital Bank Umum</x:v>
      </x:c>
      <x:c r="C5" s="14" t="str">
        <x:v>Annual digital maturity across governance, architecture, IT risk, cyber, technology, data, collaboration and consumer protection.</x:v>
      </x:c>
      <x:c r="D5" s="14" t="str">
        <x:v>Integrate with supervisory scoping and maturity review.</x:v>
      </x:c>
      <x:c r="E5" s="14" t="str">
        <x:v>https://ojk.go.id/id/regulasi/Pages/Penilaian-Tingkat-Maturitas-Digital-Bank-Umum.aspx</x:v>
      </x:c>
    </x:row>
    <x:row r="6" ht="52" customHeight="1">
      <x:c r="A6" s="14" t="str">
        <x:v>CURRENT / PRIMARY</x:v>
      </x:c>
      <x:c r="B6" s="14" t="str">
        <x:v>POJK No. 17 Tahun 2023 — Penerapan Tata Kelola Bagi Bank Umum</x:v>
      </x:c>
      <x:c r="C6" s="14" t="str">
        <x:v>Board/governance, risk oversight, internal control and audit overlay.</x:v>
      </x:c>
      <x:c r="D6" s="14" t="str">
        <x:v>Use for governance/accountability controls.</x:v>
      </x:c>
      <x:c r="E6" s="14" t="str">
        <x:v>https://ojk.go.id/id/regulasi/Pages/Penerapan-Tata-Kelola-Bagi-Bank-Umum.aspx</x:v>
      </x:c>
    </x:row>
    <x:row r="7" ht="52" customHeight="1">
      <x:c r="A7" s="14" t="str">
        <x:v>CURRENT / PRIMARY</x:v>
      </x:c>
      <x:c r="B7" s="14" t="str">
        <x:v>POJK No. 21 Tahun 2023 — Layanan Digital oleh Bank Umum</x:v>
      </x:c>
      <x:c r="C7" s="14" t="str">
        <x:v>Digital services, customer authentication, partner and digital-service risk controls.</x:v>
      </x:c>
      <x:c r="D7" s="14" t="str">
        <x:v>Apply to relevant digital services.</x:v>
      </x:c>
      <x:c r="E7" s="14" t="str">
        <x:v>https://ojk.go.id/id/regulasi/Pages/Layanan-Digital-oleh-Bank-Umum.aspx</x:v>
      </x:c>
    </x:row>
    <x:row r="8" ht="52" customHeight="1">
      <x:c r="A8" s="14" t="str">
        <x:v>CURRENT / PRIMARY</x:v>
      </x:c>
      <x:c r="B8" s="14" t="str">
        <x:v>POJK No. 22 Tahun 2023 — Pelindungan Konsumen dan Masyarakat di Sektor Jasa Keuangan</x:v>
      </x:c>
      <x:c r="C8" s="14" t="str">
        <x:v>Consumer protection, customer communication, complaints and digital-event overlays.</x:v>
      </x:c>
      <x:c r="D8" s="14" t="str">
        <x:v>Apply where cyber/IT events affect customers or service delivery.</x:v>
      </x:c>
      <x:c r="E8" s="14" t="str">
        <x:v>https://ojk.go.id/id/regulasi/Pages/Pelindungan-Konsumen-dan-Masyarakat-di-Sektor-Jasa-Keuangan.aspx</x:v>
      </x:c>
    </x:row>
    <x:row r="9" ht="52" customHeight="1">
      <x:c r="A9" s="14" t="str">
        <x:v>CURRENT / PRIMARY</x:v>
      </x:c>
      <x:c r="B9" s="14" t="str">
        <x:v>UU No. 27 Tahun 2022 — Pelindungan Data Pribadi</x:v>
      </x:c>
      <x:c r="C9" s="14" t="str">
        <x:v>Personal-data governance, lawful basis/consent, rights, processors, breach response and DPO/privacy governance where required.</x:v>
      </x:c>
      <x:c r="D9" s="14" t="str">
        <x:v>Read with applicable Constitutional Court decisions, including Putusan MK No. 151/PUU-XXII/2024.</x:v>
      </x:c>
      <x:c r="E9" s="14" t="str">
        <x:v>https://peraturan.bpk.go.id/Details/229798/uu-no-27-tahun-2022</x:v>
      </x:c>
    </x:row>
    <x:row r="10" ht="52" customHeight="1">
      <x:c r="A10" s="14" t="str">
        <x:v>CONDITIONAL — BI / PAYMENT SYSTEM</x:v>
      </x:c>
      <x:c r="B10" s="14" t="str">
        <x:v>PBI No. 2 Tahun 2024 — Keamanan Sistem Informasi dan Ketahanan Siber (KKS)</x:v>
      </x:c>
      <x:c r="C10" s="14" t="str">
        <x:v>BI/payment-system cyber governance, risk, protection, detection, response, recovery and testing.</x:v>
      </x:c>
      <x:c r="D10" s="14" t="str">
        <x:v>Apply based on BI regulatory perimeter/classification.</x:v>
      </x:c>
      <x:c r="E10" s="14" t="str">
        <x:v>https://www.bi.go.id/id/publikasi/peraturan/Pages/PBI_022024.aspx</x:v>
      </x:c>
    </x:row>
    <x:row r="11" ht="52" customHeight="1">
      <x:c r="A11" s="14" t="str">
        <x:v>CONDITIONAL — BI / PAYMENT SYSTEM</x:v>
      </x:c>
      <x:c r="B11" s="14" t="str">
        <x:v>PADG No. 24 Tahun 2024</x:v>
      </x:c>
      <x:c r="C11" s="14" t="str">
        <x:v>Detailed implementation/reporting for BI KKS requirements.</x:v>
      </x:c>
      <x:c r="D11" s="14" t="str">
        <x:v>Apply based on BI regulatory perimeter/classification.</x:v>
      </x:c>
      <x:c r="E11" s="14" t="str">
        <x:v>https://www.bi.go.id/id/publikasi/peraturan/Pages/PADG_242024.aspx</x:v>
      </x:c>
    </x:row>
    <x:row r="12" ht="52" customHeight="1">
      <x:c r="A12" s="14" t="str">
        <x:v>CONDITIONAL — BI / PAYMENT SYSTEM</x:v>
      </x:c>
      <x:c r="B12" s="14" t="str">
        <x:v>PBI No. 10 Tahun 2025 — Pengaturan Industri Sistem Pembayaran</x:v>
      </x:c>
      <x:c r="C12" s="14" t="str">
        <x:v>Payment-system structure, risk, infrastructure capability, security and reliability.</x:v>
      </x:c>
      <x:c r="D12" s="14" t="str">
        <x:v>Effective 31 Mar 2026; apply to relevant activities.</x:v>
      </x:c>
      <x:c r="E12" s="14" t="str">
        <x:v>https://www.bi.go.id/id/publikasi/peraturan/Pages/PBI_102025.aspx</x:v>
      </x:c>
    </x:row>
    <x:row r="13" ht="52" customHeight="1">
      <x:c r="A13" s="14" t="str">
        <x:v>CONDITIONAL — BI / PAYMENT SYSTEM</x:v>
      </x:c>
      <x:c r="B13" s="14" t="str">
        <x:v>PADG No. 32 Tahun 2025</x:v>
      </x:c>
      <x:c r="C13" s="14" t="str">
        <x:v>Implementation of PBI No. 10 Tahun 2025.</x:v>
      </x:c>
      <x:c r="D13" s="14" t="str">
        <x:v>Effective 31 Mar 2026; applicability depends on entity/activity.</x:v>
      </x:c>
      <x:c r="E13" s="14" t="str">
        <x:v>https://www.bi.go.id/id/publikasi/peraturan/Pages/PADG_322025.aspx</x:v>
      </x:c>
    </x:row>
    <x:row r="14" ht="52" customHeight="1">
      <x:c r="A14" s="14" t="str">
        <x:v>CONDITIONAL — BI-FAST</x:v>
      </x:c>
      <x:c r="B14" s="14" t="str">
        <x:v>PADG No. 3 Tahun 2026 — Perubahan Ketiga Penyelenggaraan BI-FAST</x:v>
      </x:c>
      <x:c r="C14" s="14" t="str">
        <x:v>BI-FAST participation, providers, operations, TIKMI and strengthened security.</x:v>
      </x:c>
      <x:c r="D14" s="14" t="str">
        <x:v>Effective 31 Mar 2026; apply to BI-FAST participants/relevant arrangements.</x:v>
      </x:c>
      <x:c r="E14" s="14" t="str">
        <x:v>https://www.bi.go.id/id/publikasi/peraturan/Pages/PADG_032026.aspx</x:v>
      </x:c>
    </x:row>
    <x:row r="15" ht="52" customHeight="1">
      <x:c r="A15" s="14" t="str">
        <x:v>CURRENT / FRAMEWORK</x:v>
      </x:c>
      <x:c r="B15" s="14" t="str">
        <x:v>NIST Cybersecurity Framework (CSF) 2.0</x:v>
      </x:c>
      <x:c r="C15" s="14" t="str">
        <x:v>Primary v3 taxonomy: Govern, Identify, Protect, Detect, Respond, Recover.</x:v>
      </x:c>
      <x:c r="D15" s="14" t="str">
        <x:v>Replaces CSF v1.1 mapping in v3.</x:v>
      </x:c>
      <x:c r="E15" s="14" t="str">
        <x:v>https://www.nist.gov/cyberframework</x:v>
      </x:c>
    </x:row>
    <x:row r="16" ht="52" customHeight="1">
      <x:c r="A16" s="14" t="str">
        <x:v>CURRENT / FRAMEWORK</x:v>
      </x:c>
      <x:c r="B16" s="14" t="str">
        <x:v>CIS Critical Security Controls v8.1</x:v>
      </x:c>
      <x:c r="C16" s="14" t="str">
        <x:v>Technical safeguards and cross-mapping.</x:v>
      </x:c>
      <x:c r="D16" s="14" t="str">
        <x:v>v8.1 aligns mappings with NIST CSF 2.0.</x:v>
      </x:c>
      <x:c r="E16" s="14" t="str">
        <x:v>https://www.cisecurity.org/controls/v8-1</x:v>
      </x:c>
    </x:row>
    <x:row r="17" ht="52" customHeight="1">
      <x:c r="A17" s="14" t="str">
        <x:v>CURRENT / FRAMEWORK</x:v>
      </x:c>
      <x:c r="B17" s="14" t="str">
        <x:v>ISO/IEC 27001:2022 / ISO/IEC 27002:2022</x:v>
      </x:c>
      <x:c r="C17" s="14" t="str">
        <x:v>ISMS governance and security controls.</x:v>
      </x:c>
      <x:c r="D17" s="14" t="str">
        <x:v>Supplementary international mapping.</x:v>
      </x:c>
      <x:c r="E17" s="14" t="str">
        <x:v>https://www.iso.org/standard/27001</x:v>
      </x:c>
    </x:row>
    <x:row r="18" ht="52" customHeight="1">
      <x:c r="A18" s="14" t="str">
        <x:v>CURRENT / FRAMEWORK</x:v>
      </x:c>
      <x:c r="B18" s="14" t="str">
        <x:v>ISO 22301:2019</x:v>
      </x:c>
      <x:c r="C18" s="14" t="str">
        <x:v>Business continuity and resilience.</x:v>
      </x:c>
      <x:c r="D18" s="14" t="str">
        <x:v>Used for BCP/DR and recovery controls.</x:v>
      </x:c>
      <x:c r="E18" s="14" t="str">
        <x:v>https://www.iso.org/standard/75106.html</x:v>
      </x:c>
    </x:row>
    <x:row r="19" ht="52" customHeight="1">
      <x:c r="A19" s="14" t="str">
        <x:v>CURRENT / FRAMEWORK</x:v>
      </x:c>
      <x:c r="B19" s="14" t="str">
        <x:v>Basel Committee — Principles for Operational Resilience (2021)</x:v>
      </x:c>
      <x:c r="C19" s="14" t="str">
        <x:v>Operational resilience and third-party dependencies.</x:v>
      </x:c>
      <x:c r="D19" s="14" t="str">
        <x:v>Supplementary supervisory reference.</x:v>
      </x:c>
      <x:c r="E19" s="14" t="str">
        <x:v>https://www.bis.org/bcbs/publ/d516.htm</x:v>
      </x:c>
    </x:row>
    <x:row r="20" ht="52" customHeight="1">
      <x:c r="A20" s="14" t="str">
        <x:v>CURRENT / FRAMEWORK</x:v>
      </x:c>
      <x:c r="B20" s="14" t="str">
        <x:v>MAS Technology Risk Management Guidelines (2021)</x:v>
      </x:c>
      <x:c r="C20" s="14" t="str">
        <x:v>Regional banking technology-risk benchmark.</x:v>
      </x:c>
      <x:c r="D20" s="14" t="str">
        <x:v>Supplementary/non-Indonesian benchmark.</x:v>
      </x:c>
      <x:c r="E20" s="14" t="str">
        <x:v>https://www.mas.gov.sg/regulation/guidelines/technology-risk-management-guidelines</x:v>
      </x:c>
    </x:row>
    <x:row r="21" ht="52" customHeight="1">
      <x:c r="A21" s="14" t="str">
        <x:v>CURRENT / FRAMEWORK</x:v>
      </x:c>
      <x:c r="B21" s="14" t="str">
        <x:v>NIST SP 800-228 Update 1</x:v>
      </x:c>
      <x:c r="C21" s="14" t="str">
        <x:v>API inventory, lifecycle, risk categories and controls.</x:v>
      </x:c>
      <x:c r="D21" s="14" t="str">
        <x:v>Update 1 incorporates 2026 updates and API risk/control appendices.</x:v>
      </x:c>
      <x:c r="E21" s="14" t="str">
        <x:v>https://csrc.nist.gov/pubs/sp/800/228/upd1/final</x:v>
      </x:c>
    </x:row>
    <x:row r="22" ht="52" customHeight="1">
      <x:c r="A22" s="14" t="str">
        <x:v>CURRENT / FRAMEWORK</x:v>
      </x:c>
      <x:c r="B22" s="14" t="str">
        <x:v>NIST SP 800-207 — Zero Trust Architecture</x:v>
      </x:c>
      <x:c r="C22" s="14" t="str">
        <x:v>Zero-trust architecture and access-control benchmark.</x:v>
      </x:c>
      <x:c r="D22" s="14" t="str">
        <x:v>Supplementary technical benchmark.</x:v>
      </x:c>
      <x:c r="E22" s="14" t="str">
        <x:v>https://csrc.nist.gov/pubs/sp/800/207/final</x:v>
      </x:c>
    </x:row>
    <x:row r="23" ht="52" customHeight="1">
      <x:c r="A23" s="14" t="str">
        <x:v>CURRENT / FRAMEWORK</x:v>
      </x:c>
      <x:c r="B23" s="14" t="str">
        <x:v>NIST SP 800-161 Rev.1 — Cybersecurity Supply Chain Risk Management</x:v>
      </x:c>
      <x:c r="C23" s="14" t="str">
        <x:v>Third-party and technology supply-chain risk.</x:v>
      </x:c>
      <x:c r="D23" s="14" t="str">
        <x:v>Supplementary technical benchmark.</x:v>
      </x:c>
      <x:c r="E23" s="14" t="str">
        <x:v>https://csrc.nist.gov/pubs/sp/800/161/r1/final</x:v>
      </x:c>
    </x:row>
    <x:row r="24" ht="52" customHeight="1">
      <x:c r="A24" s="14" t="str">
        <x:v>LEGACY / DO NOT USE AS CURRENT REQUIREMENT</x:v>
      </x:c>
      <x:c r="B24" s="14" t="str">
        <x:v>SEOJK No. 21/SEOJK.03/2017</x:v>
      </x:c>
      <x:c r="C24" s="14" t="str">
        <x:v>Historical IT-risk guidance.</x:v>
      </x:c>
      <x:c r="D24" s="14" t="str">
        <x:v>Repealed by PADK OJK No. 1 Tahun 2026 from 1 Mar 2026.</x:v>
      </x:c>
      <x:c r="E24" s="14" t="str">
        <x:v>https://ojk.go.id/id/regulasi/Pages/SEOJK-tentang-Penerapan-Manajemen-Risiko-dalam-Penggunaan-Teknologi-Informasi-Oleh-Bank-Umum.aspx</x:v>
      </x:c>
    </x:row>
    <x:row r="25" ht="52" customHeight="1">
      <x:c r="A25" s="14" t="str">
        <x:v>LEGACY / SUPPLEMENTARY</x:v>
      </x:c>
      <x:c r="B25" s="14" t="str">
        <x:v>FFIEC Cybersecurity Assessment Tool (CAT)</x:v>
      </x:c>
      <x:c r="C25" s="14" t="str">
        <x:v>Historical benchmarking only.</x:v>
      </x:c>
      <x:c r="D25" s="14" t="str">
        <x:v>FFIEC sunset CAT on 31 Aug 2025; do not use as a primary current framework.</x:v>
      </x:c>
      <x:c r="E25" s="14" t="str">
        <x:v>https://www.ffiec.gov/cyberassessmenttool.htm</x:v>
      </x:c>
    </x:row>
  </x:sheetData>
  <x:pageMargins left="0.7" right="0.7" top="0.75" bottom="0.75" header="0.3" footer="0.3"/>
  <x:tableParts count="1">
    <x:tablePart xmlns:r="http://schemas.openxmlformats.org/officeDocument/2006/relationships" r:id="Re8dc69e13fbe43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 ht="30" customHeight="1">
      <x:c r="A1" s="34" t="str">
        <x:v>Cybersecurity Checklist for Auditee — v3 | Instructions</x:v>
      </x:c>
      <x:c r="B1" s="34"/>
      <x:c r="C1" s="34"/>
      <x:c r="D1" s="34"/>
      <x:c r="E1" s="34"/>
      <x:c r="F1" s="34"/>
    </x:row>
    <x:row r="3" ht="42" customHeight="1">
      <x:c r="A3" s="36" t="str">
        <x:v>Version</x:v>
      </x:c>
      <x:c r="B3" s="14" t="str">
        <x:v>v3</x:v>
      </x:c>
    </x:row>
    <x:row r="4" ht="42" customHeight="1">
      <x:c r="A4" s="36" t="str">
        <x:v>Regulatory baseline reviewed</x:v>
      </x:c>
      <x:c r="B4" s="14" t="str">
        <x:v>15 August 2026</x:v>
      </x:c>
    </x:row>
    <x:row r="5" ht="42" customHeight="1">
      <x:c r="A5" s="36" t="str">
        <x:v>Control count</x:v>
      </x:c>
      <x:c r="B5" s="14" t="str">
        <x:v>125</x:v>
      </x:c>
    </x:row>
    <x:row r="6" ht="42" customHeight="1">
      <x:c r="A6" s="36" t="str">
        <x:v>Primary taxonomy</x:v>
      </x:c>
      <x:c r="B6" s="14" t="str">
        <x:v>NIST CSF 2.0 — Govern / Identify / Protect / Detect / Respond / Recover</x:v>
      </x:c>
    </x:row>
    <x:row r="7" ht="42" customHeight="1">
      <x:c r="A7" s="36" t="str"/>
      <x:c r="B7" s="14" t="str"/>
    </x:row>
    <x:row r="8" ht="42" customHeight="1">
      <x:c r="A8" s="36" t="str">
        <x:v>How to use</x:v>
      </x:c>
      <x:c r="B8" s="14" t="str">
        <x:v>1) Confirm auditee scope and regulatory perimeter. 2) Filter controls by applicability/function/domain/risk. 3) Obtain expected evidence. 4) Perform the documented test procedure with appropriate sampling. 5) Record Result, Auditor Notes, and Finding Reference. 6) Revalidate exact regulation text before formal breach citation.</x:v>
      </x:c>
    </x:row>
    <x:row r="9" ht="42" customHeight="1">
      <x:c r="A9" s="36" t="str">
        <x:v>Result — Comply</x:v>
      </x:c>
      <x:c r="B9" s="14" t="str">
        <x:v>Control is designed and operating effectively based on evidence tested.</x:v>
      </x:c>
    </x:row>
    <x:row r="10" ht="42" customHeight="1">
      <x:c r="A10" s="36" t="str">
        <x:v>Result — Partially Comply</x:v>
      </x:c>
      <x:c r="B10" s="14" t="str">
        <x:v>Control exists but design, coverage, timeliness or operating effectiveness is incomplete.</x:v>
      </x:c>
    </x:row>
    <x:row r="11" ht="42" customHeight="1">
      <x:c r="A11" s="36" t="str">
        <x:v>Result — Non-Comply</x:v>
      </x:c>
      <x:c r="B11" s="14" t="str">
        <x:v>Required/expected control is absent or materially ineffective.</x:v>
      </x:c>
    </x:row>
    <x:row r="12" ht="42" customHeight="1">
      <x:c r="A12" s="36" t="str">
        <x:v>Result — N/A</x:v>
      </x:c>
      <x:c r="B12" s="14" t="str">
        <x:v>Control is demonstrably outside the auditee's applicable scope.</x:v>
      </x:c>
    </x:row>
    <x:row r="13" ht="42" customHeight="1">
      <x:c r="A13" s="36" t="str">
        <x:v>Result — Not Tested</x:v>
      </x:c>
      <x:c r="B13" s="14" t="str">
        <x:v>No audit conclusion has yet been reached.</x:v>
      </x:c>
    </x:row>
    <x:row r="14" ht="42" customHeight="1">
      <x:c r="A14" s="36" t="str">
        <x:v>Risk ratings</x:v>
      </x:c>
      <x:c r="B14" s="14" t="str">
        <x:v>Critical/High/Medium/Low are default audit-prioritization indicators, not automatic finding ratings. Final rating should consider actual exposure, affected assets/customers, duration, compensating controls and regulatory impact.</x:v>
      </x:c>
    </x:row>
    <x:row r="15" ht="42" customHeight="1">
      <x:c r="A15" s="36" t="str">
        <x:v>Applicability</x:v>
      </x:c>
      <x:c r="B15" s="14" t="str">
        <x:v>Controls marked Conditional — BI / Payment System / BI-FAST must only be applied after confirming the auditee's actual BI licensing, activities, infrastructure participation and regulatory classification.</x:v>
      </x:c>
    </x:row>
    <x:row r="16" ht="42" customHeight="1">
      <x:c r="A16" s="36" t="str">
        <x:v>Regulatory caution</x:v>
      </x:c>
      <x:c r="B16" s="14" t="str">
        <x:v>This workbook is an audit/supervisory aid, not a legal opinion. Before a formal finding, verify the exact operative provision, scope, effective date, transition/exemption, and official reporting instruction applicable to the auditee.</x:v>
      </x:c>
    </x:row>
  </x:sheetData>
  <x:mergeCells>
    <x:mergeCell ref="A1:F1"/>
  </x:mergeCells>
  <x:pageMargins left="0.7" right="0.7" top="0.75" bottom="0.75" header="0.3" footer="0.3"/>
</x:worksheet>
</file>