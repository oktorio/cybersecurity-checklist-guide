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41de2149f249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ecklist v3" sheetId="1" r:id="Rc949aebf0704465b"/>
    <x:sheet xmlns:r="http://schemas.openxmlformats.org/officeDocument/2006/relationships" name="Dashboard" sheetId="2" r:id="R3ca2ce2252cc42d0"/>
    <x:sheet xmlns:r="http://schemas.openxmlformats.org/officeDocument/2006/relationships" name="Reference Map" sheetId="3" r:id="R6974af50373c45f0"/>
    <x:sheet xmlns:r="http://schemas.openxmlformats.org/officeDocument/2006/relationships" name="Instructions" sheetId="4" r:id="Rd0184474905d46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1"/>
      <x:color rgb="FF44546A"/>
      <x:name val="Carlito"/>
    </x:font>
    <x:font>
      <x:b/>
      <x:sz val="11"/>
      <x:name val="Carlito"/>
    </x:font>
    <x:font>
      <x:b/>
      <x:sz val="16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3B5D"/>
      </x:patternFill>
    </x:fill>
    <x:fill>
      <x:patternFill patternType="solid">
        <x:fgColor rgb="FF2F75B5"/>
      </x:patternFill>
    </x:fill>
  </x:fills>
  <x:borders count="2">
    <x:border/>
    <x:border/>
  </x:borders>
  <x:cellStyleXfs count="1">
    <x:xf numFmtId="0" fontId="0" fillId="0" borderId="0"/>
  </x:cellStyleXfs>
  <x:cellXfs count="3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left"/>
    </x:xf>
    <x:xf numFmtId="0" fontId="2" fillId="2" borderId="1" xfId="0" applyNumberFormat="1" applyFont="1" applyFill="1" applyBorder="1" applyAlignment="1">
      <x:alignment horizontal="left" vertical="center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4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color rgb="FF274E13"/>
      </x:font>
      <x:fill>
        <x:patternFill patternType="solid">
          <x:bgColor rgb="FFD9EAD3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B45F06"/>
      </x:font>
      <x:fill>
        <x:patternFill patternType="solid">
          <x:bgColor rgb="FFFCE5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95c6787d4a4e88" /><Relationship Type="http://schemas.openxmlformats.org/officeDocument/2006/relationships/theme" Target="/xl/theme/theme1.xml" Id="R1ec869f8abed445f" /><Relationship Type="http://schemas.openxmlformats.org/officeDocument/2006/relationships/sharedStrings" Target="/xl/sharedStrings.xml" Id="R1629ab431b554a52" /><Relationship Type="http://schemas.openxmlformats.org/officeDocument/2006/relationships/worksheet" Target="/xl/worksheets/sheet1.xml" Id="Rc949aebf0704465b" /><Relationship Type="http://schemas.openxmlformats.org/officeDocument/2006/relationships/worksheet" Target="/xl/worksheets/sheet2.xml" Id="R3ca2ce2252cc42d0" /><Relationship Type="http://schemas.openxmlformats.org/officeDocument/2006/relationships/worksheet" Target="/xl/worksheets/sheet3.xml" Id="R6974af50373c45f0" /><Relationship Type="http://schemas.openxmlformats.org/officeDocument/2006/relationships/worksheet" Target="/xl/worksheets/sheet4.xml" Id="Rd0184474905d46a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dc5a8ee38a24fe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Controls by NIST CSF 2.0 Function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Controls</c:v>
          </c:tx>
          <c:cat>
            <c:strRef>
              <c:f>'Dashboard'!$D$5:$D$10</c:f>
              <c:strCache>
                <c:ptCount val="0"/>
              </c:strCache>
            </c:strRef>
          </c:cat>
          <c:val>
            <c:numRef>
              <c:f>'Dashboard'!$E$5:$E$10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dc5a8ee38a24fe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yberChecklistV3" displayName="CyberChecklistV3" ref="A1:N126" headerRowCount="1" totalsRowCount="0" totalsRowShown="0">
  <x:tableColumns count="14">
    <x:tableColumn id="1" name="ID"/>
    <x:tableColumn id="2" name="Function"/>
    <x:tableColumn id="3" name="Domain / Subdomain"/>
    <x:tableColumn id="4" name="Audit Question (English)"/>
    <x:tableColumn id="5" name="Pertanyaan Audit (Bahasa Indonesia)"/>
    <x:tableColumn id="6" name="Expected Evidence / Bukti"/>
    <x:tableColumn id="7" name="Audit / Test Procedure"/>
    <x:tableColumn id="8" name="Primary Regulatory Reference"/>
    <x:tableColumn id="9" name="Framework Mapping"/>
    <x:tableColumn id="10" name="Applicability"/>
    <x:tableColumn id="11" name="Default Risk"/>
    <x:tableColumn id="12" name="Result"/>
    <x:tableColumn id="13" name="Auditor Notes"/>
    <x:tableColumn id="14" name="Finding Refer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ferenceMapV3" displayName="ReferenceMapV3" ref="A1:E25" headerRowCount="1" totalsRowCount="0" totalsRowShown="0">
  <x:tableColumns count="5">
    <x:tableColumn id="1" name="Status"/>
    <x:tableColumn id="2" name="Regulation / Framework"/>
    <x:tableColumn id="3" name="Scope / Use"/>
    <x:tableColumn id="4" name="Notes"/>
    <x:tableColumn id="5" name="Official / Primary 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1d913eece89498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d9baa97ac254b3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8dc69e13fbe43f4" /></Relationships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0" hidden="0" customWidth="1"/>
    <x:col min="3" max="3" width="25" hidden="0" customWidth="1"/>
    <x:col min="4" max="4" width="42" hidden="0" customWidth="1"/>
    <x:col min="5" max="5" width="42" hidden="0" customWidth="1"/>
    <x:col min="6" max="6" width="38" hidden="0" customWidth="1"/>
    <x:col min="7" max="7" width="42" hidden="0" customWidth="1"/>
    <x:col min="8" max="8" width="32" hidden="0" customWidth="1"/>
    <x:col min="9" max="9" width="26" hidden="0" customWidth="1"/>
    <x:col min="10" max="10" width="23" hidden="0" customWidth="1"/>
    <x:col min="11" max="11" width="13" hidden="0" customWidth="1"/>
    <x:col min="12" max="12" width="18" hidden="0" customWidth="1"/>
    <x:col min="13" max="13" width="32" hidden="0" customWidth="1"/>
    <x:col min="14" max="14" width="20" hidden="0" customWidth="1"/>
  </x:cols>
  <x:sheetData>
    <x:row r="1" ht="32" customHeight="1">
      <x:c r="A1" s="6" t="str">
        <x:v>ID</x:v>
      </x:c>
      <x:c r="B1" s="6" t="str">
        <x:v>Function</x:v>
      </x:c>
      <x:c r="C1" s="6" t="str">
        <x:v>Domain / Subdomain</x:v>
      </x:c>
      <x:c r="D1" s="6" t="str">
        <x:v>Audit Question (English)</x:v>
      </x:c>
      <x:c r="E1" s="6" t="str">
        <x:v>Pertanyaan Audit (Bahasa Indonesia)</x:v>
      </x:c>
      <x:c r="F1" s="6" t="str">
        <x:v>Expected Evidence / Bukti</x:v>
      </x:c>
      <x:c r="G1" s="6" t="str">
        <x:v>Audit / Test Procedure</x:v>
      </x:c>
      <x:c r="H1" s="6" t="str">
        <x:v>Primary Regulatory Reference</x:v>
      </x:c>
      <x:c r="I1" s="6" t="str">
        <x:v>Framework Mapping</x:v>
      </x:c>
      <x:c r="J1" s="6" t="str">
        <x:v>Applicability</x:v>
      </x:c>
      <x:c r="K1" s="6" t="str">
        <x:v>Default Risk</x:v>
      </x:c>
      <x:c r="L1" s="6" t="str">
        <x:v>Result</x:v>
      </x:c>
      <x:c r="M1" s="6" t="str">
        <x:v>Auditor Notes</x:v>
      </x:c>
      <x:c r="N1" s="6" t="str">
        <x:v>Finding Reference</x:v>
      </x:c>
    </x:row>
    <x:row r="2" ht="66" customHeight="1">
      <x:c r="A2" s="14" t="str">
        <x:v>GV-01</x:v>
      </x:c>
      <x:c r="B2" s="14" t="str">
        <x:v>GV</x:v>
      </x:c>
      <x:c r="C2" s="14" t="str">
        <x:v>Cybersecurity Governance</x:v>
      </x:c>
      <x:c r="D2" s="14" t="str">
        <x:v>Has the Bank established an approved cybersecurity governance framework aligned with enterprise risk management and business objectives?</x:v>
      </x:c>
      <x:c r="E2" s="14" t="str">
        <x:v>Apakah Bank telah menetapkan kerangka tata kelola keamanan siber yang disetujui dan selaras dengan manajemen risiko perusahaan serta tujuan bisnis?</x:v>
      </x:c>
      <x:c r="F2" s="14" t="str">
        <x:v>Board-approved cybersecurity policy/strategy, governance charter, ERM linkage, risk taxonomy.</x:v>
      </x:c>
      <x:c r="G2" s="14" t="str">
        <x:v>Review approval and version history; trace cyber risks/KRIs into ERM and strategic planning; confirm accountable owners.</x:v>
      </x:c>
      <x:c r="H2" s="14" t="str">
        <x:v>PADK OJK 1/2026 Lampiran I Bab II; SEOJK 29/2022 III</x:v>
      </x:c>
      <x:c r="I2" s="14" t="str">
        <x:v>NIST CSF 2.0 GV.OC/GV.RM/GV.PO; ISO 27001:2022 Clauses 5-6</x:v>
      </x:c>
      <x:c r="J2" s="14" t="str">
        <x:v>All Commercial Banks</x:v>
      </x:c>
      <x:c r="K2" s="14" t="str">
        <x:v>High</x:v>
      </x:c>
      <x:c r="L2" s="14" t="str">
        <x:v>Not Tested</x:v>
      </x:c>
      <x:c r="M2" s="14" t="str"/>
      <x:c r="N2" s="14" t="str"/>
    </x:row>
    <x:row r="3" ht="66" customHeight="1">
      <x:c r="A3" s="14" t="str">
        <x:v>GV-02</x:v>
      </x:c>
      <x:c r="B3" s="14" t="str">
        <x:v>GV</x:v>
      </x:c>
      <x:c r="C3" s="14" t="str">
        <x:v>Board Oversight</x:v>
      </x:c>
      <x:c r="D3" s="14" t="str">
        <x:v>Do the Board of Directors and Board of Commissioners receive timely, decision-useful cybersecurity and IT risk reporting?</x:v>
      </x:c>
      <x:c r="E3" s="14" t="str">
        <x:v>Apakah Direksi dan Dewan Komisaris menerima pelaporan risiko siber dan TI yang tepat waktu dan memadai untuk pengambilan keputusan?</x:v>
      </x:c>
      <x:c r="F3" s="14" t="str">
        <x:v>Board/Commissioner packs, minutes, KRI/KPI dashboards, escalation records, decisions and follow-up actions.</x:v>
      </x:c>
      <x:c r="G3" s="14" t="str">
        <x:v>Sample at least 3 reporting periods; verify material incidents/exceptions were escalated and resulting actions were tracked.</x:v>
      </x:c>
      <x:c r="H3" s="14" t="str">
        <x:v>PADK OJK 1/2026 Lampiran I Bab II; POJK 17/2023</x:v>
      </x:c>
      <x:c r="I3" s="14" t="str">
        <x:v>NIST CSF 2.0 GV.RR/GV.OV; ISO 27001:2022 5.1</x:v>
      </x:c>
      <x:c r="J3" s="14" t="str">
        <x:v>All Commercial Banks</x:v>
      </x:c>
      <x:c r="K3" s="14" t="str">
        <x:v>High</x:v>
      </x:c>
      <x:c r="L3" s="14" t="str">
        <x:v>Not Tested</x:v>
      </x:c>
      <x:c r="M3" s="14" t="str"/>
      <x:c r="N3" s="14" t="str"/>
    </x:row>
    <x:row r="4" ht="66" customHeight="1">
      <x:c r="A4" s="14" t="str">
        <x:v>GV-03</x:v>
      </x:c>
      <x:c r="B4" s="14" t="str">
        <x:v>GV</x:v>
      </x:c>
      <x:c r="C4" s="14" t="str">
        <x:v>IT Steering Committee</x:v>
      </x:c>
      <x:c r="D4" s="14" t="str">
        <x:v>Is the IT Steering Committee constituted, competent, and operating with clear authority, agenda, and follow-up of decisions?</x:v>
      </x:c>
      <x:c r="E4" s="14" t="str">
        <x:v>Apakah Komite Pengarah TI dibentuk, kompeten, dan beroperasi dengan kewenangan, agenda, serta tindak lanjut keputusan yang jelas?</x:v>
      </x:c>
      <x:c r="F4" s="14" t="str">
        <x:v>Committee charter, membership/competency records, meeting minutes, action log, attendance.</x:v>
      </x:c>
      <x:c r="G4" s="14" t="str">
        <x:v>Inspect charter and composition; sample meetings; verify overdue actions and significant IT/cyber matters are followed up.</x:v>
      </x:c>
      <x:c r="H4" s="14" t="str">
        <x:v>PADK OJK 1/2026 Lampiran I Bab II</x:v>
      </x:c>
      <x:c r="I4" s="14" t="str">
        <x:v>NIST CSF 2.0 GV.RR/GV.OV; COBIT governance practices</x:v>
      </x:c>
      <x:c r="J4" s="14" t="str">
        <x:v>All Commercial Banks</x:v>
      </x:c>
      <x:c r="K4" s="14" t="str">
        <x:v>Medium</x:v>
      </x:c>
      <x:c r="L4" s="14" t="str">
        <x:v>Not Tested</x:v>
      </x:c>
      <x:c r="M4" s="14" t="str"/>
      <x:c r="N4" s="14" t="str"/>
    </x:row>
    <x:row r="5" ht="66" customHeight="1">
      <x:c r="A5" s="14" t="str">
        <x:v>GV-04</x:v>
      </x:c>
      <x:c r="B5" s="14" t="str">
        <x:v>GV</x:v>
      </x:c>
      <x:c r="C5" s="14" t="str">
        <x:v>Roles &amp; Responsibilities</x:v>
      </x:c>
      <x:c r="D5" s="14" t="str">
        <x:v>Are cybersecurity, IT, risk, compliance, privacy, fraud, and incident-response roles clearly segregated and documented?</x:v>
      </x:c>
      <x:c r="E5" s="14" t="str">
        <x:v>Apakah peran keamanan siber, TI, risiko, kepatuhan, privasi, fraud, dan respons insiden dipisahkan serta didokumentasikan secara jelas?</x:v>
      </x:c>
      <x:c r="F5" s="14" t="str">
        <x:v>Organization charts, RACI, job descriptions, delegation matrix, segregation-of-duty rules.</x:v>
      </x:c>
      <x:c r="G5" s="14" t="str">
        <x:v>Trace critical processes to named accountable roles; identify incompatible duties; validate compensating controls.</x:v>
      </x:c>
      <x:c r="H5" s="14" t="str">
        <x:v>PADK OJK 1/2026 Lampiran I Bab II; SEOJK 29/2022 VIII</x:v>
      </x:c>
      <x:c r="I5" s="14" t="str">
        <x:v>NIST CSF 2.0 GV.RR; ISO 27001:2022 5.2/5.3</x:v>
      </x:c>
      <x:c r="J5" s="14" t="str">
        <x:v>All Commercial Banks</x:v>
      </x:c>
      <x:c r="K5" s="14" t="str">
        <x:v>High</x:v>
      </x:c>
      <x:c r="L5" s="14" t="str">
        <x:v>Not Tested</x:v>
      </x:c>
      <x:c r="M5" s="14" t="str"/>
      <x:c r="N5" s="14" t="str"/>
    </x:row>
    <x:row r="6" ht="66" customHeight="1">
      <x:c r="A6" s="14" t="str">
        <x:v>GV-05</x:v>
      </x:c>
      <x:c r="B6" s="14" t="str">
        <x:v>GV</x:v>
      </x:c>
      <x:c r="C6" s="14" t="str">
        <x:v>Second-Line Challenge</x:v>
      </x:c>
      <x:c r="D6" s="14" t="str">
        <x:v>Does the independent risk/compliance function provide effective challenge over material technology and cyber risks?</x:v>
      </x:c>
      <x:c r="E6" s="14" t="str">
        <x:v>Apakah fungsi risiko/kepatuhan yang independen melakukan challenge yang efektif atas risiko teknologi dan siber yang material?</x:v>
      </x:c>
      <x:c r="F6" s="14" t="str">
        <x:v>Risk opinions, challenge memos, new-product assessments, exceptions, committee papers.</x:v>
      </x:c>
      <x:c r="G6" s="14" t="str">
        <x:v>Sample major projects/vendors/incidents; verify independent challenge occurred before approval and unresolved concerns were escalated.</x:v>
      </x:c>
      <x:c r="H6" s="14" t="str">
        <x:v>POJK 17/2023; PADK OJK 1/2026 Lampiran I Bab II/IV</x:v>
      </x:c>
      <x:c r="I6" s="14" t="str">
        <x:v>NIST CSF 2.0 GV.OV/GV.RR; ISO 27001:2022 5.3</x:v>
      </x:c>
      <x:c r="J6" s="14" t="str">
        <x:v>All Commercial Banks</x:v>
      </x:c>
      <x:c r="K6" s="14" t="str">
        <x:v>Medium</x:v>
      </x:c>
      <x:c r="L6" s="14" t="str">
        <x:v>Not Tested</x:v>
      </x:c>
      <x:c r="M6" s="14" t="str"/>
      <x:c r="N6" s="14" t="str"/>
    </x:row>
    <x:row r="7" ht="66" customHeight="1">
      <x:c r="A7" s="14" t="str">
        <x:v>GV-06</x:v>
      </x:c>
      <x:c r="B7" s="14" t="str">
        <x:v>GV</x:v>
      </x:c>
      <x:c r="C7" s="14" t="str">
        <x:v>IT Architecture Governance</x:v>
      </x:c>
      <x:c r="D7" s="14" t="str">
        <x:v>Is the Bank's IT architecture formally governed and kept aligned with business strategy, security principles, and resilience requirements?</x:v>
      </x:c>
      <x:c r="E7" s="14" t="str">
        <x:v>Apakah arsitektur TI Bank dikelola secara formal dan tetap selaras dengan strategi bisnis, prinsip keamanan, serta kebutuhan ketahanan?</x:v>
      </x:c>
      <x:c r="F7" s="14" t="str">
        <x:v>Enterprise/solution architecture, standards, architecture review board records, exception register, target-state roadmap.</x:v>
      </x:c>
      <x:c r="G7" s="14" t="str">
        <x:v>Sample major systems/projects; verify architecture/security review, approved deviations, and roadmap traceability.</x:v>
      </x:c>
      <x:c r="H7" s="14" t="str">
        <x:v>PADK OJK 1/2026 Lampiran I Bab III</x:v>
      </x:c>
      <x:c r="I7" s="14" t="str">
        <x:v>NIST CSF 2.0 GV.OC/GV.PO; ISO 27001:2022 5.8/8.27</x:v>
      </x:c>
      <x:c r="J7" s="14" t="str">
        <x:v>All Commercial Banks</x:v>
      </x:c>
      <x:c r="K7" s="14" t="str">
        <x:v>Medium</x:v>
      </x:c>
      <x:c r="L7" s="14" t="str">
        <x:v>Not Tested</x:v>
      </x:c>
      <x:c r="M7" s="14" t="str"/>
      <x:c r="N7" s="14" t="str"/>
    </x:row>
    <x:row r="8" ht="66" customHeight="1">
      <x:c r="A8" s="14" t="str">
        <x:v>GV-07</x:v>
      </x:c>
      <x:c r="B8" s="14" t="str">
        <x:v>GV</x:v>
      </x:c>
      <x:c r="C8" s="14" t="str">
        <x:v>IT Strategic Plan</x:v>
      </x:c>
      <x:c r="D8" s="14" t="str">
        <x:v>Does the IT strategic plan explicitly address cybersecurity, resilience, obsolescence, capacity, data, and major transformation risks?</x:v>
      </x:c>
      <x:c r="E8" s="14" t="str">
        <x:v>Apakah rencana strategis TI secara eksplisit mencakup keamanan siber, ketahanan, keusangan teknologi, kapasitas, data, dan risiko transformasi utama?</x:v>
      </x:c>
      <x:c r="F8" s="14" t="str">
        <x:v>IT strategic plan, cyber roadmap, budget, milestones, architecture roadmap, risk dependencies.</x:v>
      </x:c>
      <x:c r="G8" s="14" t="str">
        <x:v>Reconcile major risk themes and regulatory gaps to funded initiatives; inspect missed milestones and management responses.</x:v>
      </x:c>
      <x:c r="H8" s="14" t="str">
        <x:v>PADK OJK 1/2026 Lampiran I Bab III</x:v>
      </x:c>
      <x:c r="I8" s="14" t="str">
        <x:v>NIST CSF 2.0 GV.RM/GV.PO; ISO 27001:2022 6.1/6.2</x:v>
      </x:c>
      <x:c r="J8" s="14" t="str">
        <x:v>All Commercial Banks</x:v>
      </x:c>
      <x:c r="K8" s="14" t="str">
        <x:v>Medium</x:v>
      </x:c>
      <x:c r="L8" s="14" t="str">
        <x:v>Not Tested</x:v>
      </x:c>
      <x:c r="M8" s="14" t="str"/>
      <x:c r="N8" s="14" t="str"/>
    </x:row>
    <x:row r="9" ht="66" customHeight="1">
      <x:c r="A9" s="14" t="str">
        <x:v>GV-08</x:v>
      </x:c>
      <x:c r="B9" s="14" t="str">
        <x:v>GV</x:v>
      </x:c>
      <x:c r="C9" s="14" t="str">
        <x:v>Risk Appetite &amp; KRI</x:v>
      </x:c>
      <x:c r="D9" s="14" t="str">
        <x:v>Has the Bank defined measurable cyber/IT risk appetite, tolerance, KRIs, thresholds, and escalation triggers?</x:v>
      </x:c>
      <x:c r="E9" s="14" t="str">
        <x:v>Apakah Bank menetapkan risk appetite, toleransi, KRI, threshold, dan trigger eskalasi risiko siber/TI yang terukur?</x:v>
      </x:c>
      <x:c r="F9" s="14" t="str">
        <x:v>Risk appetite statement, KRI catalogue, thresholds, breach reports, remediation actions.</x:v>
      </x:c>
      <x:c r="G9" s="14" t="str">
        <x:v>Select key KRIs; recalculate recent values; verify breaches triggered timely escalation and corrective action.</x:v>
      </x:c>
      <x:c r="H9" s="14" t="str">
        <x:v>SEOJK 29/2022 III; POJK 17/2023</x:v>
      </x:c>
      <x:c r="I9" s="14" t="str">
        <x:v>NIST CSF 2.0 GV.RM/GV.OV; ISO 27001:2022 6.1</x:v>
      </x:c>
      <x:c r="J9" s="14" t="str">
        <x:v>All Commercial Banks</x:v>
      </x:c>
      <x:c r="K9" s="14" t="str">
        <x:v>High</x:v>
      </x:c>
      <x:c r="L9" s="14" t="str">
        <x:v>Not Tested</x:v>
      </x:c>
      <x:c r="M9" s="14" t="str"/>
      <x:c r="N9" s="14" t="str"/>
    </x:row>
    <x:row r="10" ht="66" customHeight="1">
      <x:c r="A10" s="14" t="str">
        <x:v>GV-09</x:v>
      </x:c>
      <x:c r="B10" s="14" t="str">
        <x:v>GV</x:v>
      </x:c>
      <x:c r="C10" s="14" t="str">
        <x:v>Regulatory Compliance Mapping</x:v>
      </x:c>
      <x:c r="D10" s="14" t="str">
        <x:v>Is there a maintained regulatory obligations register and control mapping for OJK, BI, privacy, and other applicable cyber/IT requirements?</x:v>
      </x:c>
      <x:c r="E10" s="14" t="str">
        <x:v>Apakah terdapat register kewajiban regulasi dan pemetaan kontrol yang terpelihara untuk ketentuan OJK, BI, privasi, dan ketentuan siber/TI lain yang berlaku?</x:v>
      </x:c>
      <x:c r="F10" s="14" t="str">
        <x:v>Regulatory inventory, obligation-to-control matrix, legal updates, compliance attestations, gap assessments.</x:v>
      </x:c>
      <x:c r="G10" s="14" t="str">
        <x:v>Verify current regulatory set; sample obligations to controls/evidence; confirm changes are assessed and implemented before effective dates.</x:v>
      </x:c>
      <x:c r="H10" s="14" t="str">
        <x:v>PADK OJK 1/2026; SEOJK 29/2022; SEOJK 24/2023; applicable BI/PDP rules</x:v>
      </x:c>
      <x:c r="I10" s="14" t="str">
        <x:v>NIST CSF 2.0 GV.OC/GV.PO; ISO 27001:2022 5.31</x:v>
      </x:c>
      <x:c r="J10" s="14" t="str">
        <x:v>All Commercial Banks</x:v>
      </x:c>
      <x:c r="K10" s="14" t="str">
        <x:v>High</x:v>
      </x:c>
      <x:c r="L10" s="14" t="str">
        <x:v>Not Tested</x:v>
      </x:c>
      <x:c r="M10" s="14" t="str"/>
      <x:c r="N10" s="14" t="str"/>
    </x:row>
    <x:row r="11" ht="66" customHeight="1">
      <x:c r="A11" s="14" t="str">
        <x:v>GV-10</x:v>
      </x:c>
      <x:c r="B11" s="14" t="str">
        <x:v>GV</x:v>
      </x:c>
      <x:c r="C11" s="14" t="str">
        <x:v>Digital Maturity</x:v>
      </x:c>
      <x:c r="D11" s="14" t="str">
        <x:v>Does the Bank perform its digital maturity self-assessment at least annually and use the results to drive measurable remediation?</x:v>
      </x:c>
      <x:c r="E11" s="14" t="str">
        <x:v>Apakah Bank melakukan self-assessment tingkat maturitas digital paling sedikit setiap tahun dan menggunakan hasilnya untuk mendorong perbaikan yang terukur?</x:v>
      </x:c>
      <x:c r="F11" s="14" t="str">
        <x:v>Annual self-assessment working papers, supporting evidence, management approval, OJK submission, improvement plan.</x:v>
      </x:c>
      <x:c r="G11" s="14" t="str">
        <x:v>Reperform a sample of ratings against evidence; compare year-on-year movement; test closure of low-scoring controls.</x:v>
      </x:c>
      <x:c r="H11" s="14" t="str">
        <x:v>SEOJK 24/SEOJK.03/2023</x:v>
      </x:c>
      <x:c r="I11" s="14" t="str">
        <x:v>NIST CSF 2.0 GV.OV/ID.IM</x:v>
      </x:c>
      <x:c r="J11" s="14" t="str">
        <x:v>All Commercial Banks</x:v>
      </x:c>
      <x:c r="K11" s="14" t="str">
        <x:v>High</x:v>
      </x:c>
      <x:c r="L11" s="14" t="str">
        <x:v>Not Tested</x:v>
      </x:c>
      <x:c r="M11" s="14" t="str"/>
      <x:c r="N11" s="14" t="str"/>
    </x:row>
    <x:row r="12" ht="66" customHeight="1">
      <x:c r="A12" s="14" t="str">
        <x:v>GV-11</x:v>
      </x:c>
      <x:c r="B12" s="14" t="str">
        <x:v>GV</x:v>
      </x:c>
      <x:c r="C12" s="14" t="str">
        <x:v>Internal Audit Coverage</x:v>
      </x:c>
      <x:c r="D12" s="14" t="str">
        <x:v>Does Internal Audit maintain a risk-based IT/cyber audit universe and plan covering critical technologies, cyber risks, third parties, and regulatory obligations?</x:v>
      </x:c>
      <x:c r="E12" s="14" t="str">
        <x:v>Apakah Audit Intern memiliki audit universe dan rencana audit TI/siber berbasis risiko yang mencakup teknologi kritikal, risiko siber, pihak ketiga, serta kewajiban regulasi?</x:v>
      </x:c>
      <x:c r="F12" s="14" t="str">
        <x:v>Audit universe, annual/multi-year plan, risk assessment, audit reports, issue tracker.</x:v>
      </x:c>
      <x:c r="G12" s="14" t="str">
        <x:v>Reconcile critical systems/vendors/high risks to audit coverage; identify prolonged coverage gaps and rationale.</x:v>
      </x:c>
      <x:c r="H12" s="14" t="str">
        <x:v>PADK OJK 1/2026 Lampiran I Bab IX; POJK 17/2023</x:v>
      </x:c>
      <x:c r="I12" s="14" t="str">
        <x:v>NIST CSF 2.0 GV.OV; ISO 27001:2022 9.2</x:v>
      </x:c>
      <x:c r="J12" s="14" t="str">
        <x:v>All Commercial Banks</x:v>
      </x:c>
      <x:c r="K12" s="14" t="str">
        <x:v>High</x:v>
      </x:c>
      <x:c r="L12" s="14" t="str">
        <x:v>Not Tested</x:v>
      </x:c>
      <x:c r="M12" s="14" t="str"/>
      <x:c r="N12" s="14" t="str"/>
    </x:row>
    <x:row r="13" ht="66" customHeight="1">
      <x:c r="A13" s="14" t="str">
        <x:v>GV-12</x:v>
      </x:c>
      <x:c r="B13" s="14" t="str">
        <x:v>GV</x:v>
      </x:c>
      <x:c r="C13" s="14" t="str">
        <x:v>Audit Independence &amp; Competence</x:v>
      </x:c>
      <x:c r="D13" s="14" t="str">
        <x:v>Are IT/cyber auditors sufficiently independent, skilled, and resourced for the Bank's technology complexity?</x:v>
      </x:c>
      <x:c r="E13" s="14" t="str">
        <x:v>Apakah auditor TI/siber memiliki independensi, kompetensi, dan sumber daya yang memadai sesuai kompleksitas teknologi Bank?</x:v>
      </x:c>
      <x:c r="F13" s="14" t="str">
        <x:v>Audit charter, reporting line, competency matrix, certifications/training, co-source arrangements.</x:v>
      </x:c>
      <x:c r="G13" s="14" t="str">
        <x:v>Inspect reporting line and conflicts; compare competencies to audit universe; sample specialist engagements.</x:v>
      </x:c>
      <x:c r="H13" s="14" t="str">
        <x:v>PADK OJK 1/2026 Lampiran I Bab IX; POJK 17/2023</x:v>
      </x:c>
      <x:c r="I13" s="14" t="str">
        <x:v>NIST CSF 2.0 GV.RR/GV.OV; ISO 27001:2022 7.2</x:v>
      </x:c>
      <x:c r="J13" s="14" t="str">
        <x:v>All Commercial Banks</x:v>
      </x:c>
      <x:c r="K13" s="14" t="str">
        <x:v>Medium</x:v>
      </x:c>
      <x:c r="L13" s="14" t="str">
        <x:v>Not Tested</x:v>
      </x:c>
      <x:c r="M13" s="14" t="str"/>
      <x:c r="N13" s="14" t="str"/>
    </x:row>
    <x:row r="14" ht="66" customHeight="1">
      <x:c r="A14" s="14" t="str">
        <x:v>GV-13</x:v>
      </x:c>
      <x:c r="B14" s="14" t="str">
        <x:v>GV</x:v>
      </x:c>
      <x:c r="C14" s="14" t="str">
        <x:v>Issue Governance</x:v>
      </x:c>
      <x:c r="D14" s="14" t="str">
        <x:v>Are cyber/IT findings, risk acceptances, and control exceptions centrally governed through ownership, due dates, validation, and escalation?</x:v>
      </x:c>
      <x:c r="E14" s="14" t="str">
        <x:v>Apakah temuan siber/TI, penerimaan risiko, dan pengecualian kontrol dikelola terpusat melalui penetapan owner, target waktu, validasi, dan eskalasi?</x:v>
      </x:c>
      <x:c r="F14" s="14" t="str">
        <x:v>Issue register, exception register, risk acceptances, closure evidence, overdue escalation.</x:v>
      </x:c>
      <x:c r="G14" s="14" t="str">
        <x:v>Sample high/critical issues and overdue items; verify independent closure validation and approved risk acceptance.</x:v>
      </x:c>
      <x:c r="H14" s="14" t="str">
        <x:v>PADK OJK 1/2026 Lampiran I Bab IX; POJK 17/2023</x:v>
      </x:c>
      <x:c r="I14" s="14" t="str">
        <x:v>NIST CSF 2.0 GV.OV/ID.IM</x:v>
      </x:c>
      <x:c r="J14" s="14" t="str">
        <x:v>All Commercial Banks</x:v>
      </x:c>
      <x:c r="K14" s="14" t="str">
        <x:v>High</x:v>
      </x:c>
      <x:c r="L14" s="14" t="str">
        <x:v>Not Tested</x:v>
      </x:c>
      <x:c r="M14" s="14" t="str"/>
      <x:c r="N14" s="14" t="str"/>
    </x:row>
    <x:row r="15" ht="66" customHeight="1">
      <x:c r="A15" s="14" t="str">
        <x:v>GV-14</x:v>
      </x:c>
      <x:c r="B15" s="14" t="str">
        <x:v>GV</x:v>
      </x:c>
      <x:c r="C15" s="14" t="str">
        <x:v>Third-Party Governance</x:v>
      </x:c>
      <x:c r="D15" s="14" t="str">
        <x:v>Is technology third-party risk governed end-to-end from due diligence through contracting, monitoring, concentration risk, exit, and termination?</x:v>
      </x:c>
      <x:c r="E15" s="14" t="str">
        <x:v>Apakah risiko pihak ketiga TI dikelola end-to-end mulai dari due diligence, kontrak, monitoring, risiko konsentrasi, exit, hingga terminasi?</x:v>
      </x:c>
      <x:c r="F15" s="14" t="str">
        <x:v>PPJTI policy, vendor inventory/tiering, due diligence, contracts, SLA/KPI, risk reviews, exit plans.</x:v>
      </x:c>
      <x:c r="G15" s="14" t="str">
        <x:v>Sample critical vendors; trace due diligence, clauses, monitoring and exit readiness; assess concentration dependencies.</x:v>
      </x:c>
      <x:c r="H15" s="14" t="str">
        <x:v>PADK OJK 1/2026 Lampiran I Bab V</x:v>
      </x:c>
      <x:c r="I15" s="14" t="str">
        <x:v>NIST CSF 2.0 GV.SC; ISO 27001:2022 5.19-5.23; CIS v8.1 Control 15</x:v>
      </x:c>
      <x:c r="J15" s="14" t="str">
        <x:v>All Commercial Banks</x:v>
      </x:c>
      <x:c r="K15" s="14" t="str">
        <x:v>High</x:v>
      </x:c>
      <x:c r="L15" s="14" t="str">
        <x:v>Not Tested</x:v>
      </x:c>
      <x:c r="M15" s="14" t="str"/>
      <x:c r="N15" s="14" t="str"/>
    </x:row>
    <x:row r="16" ht="66" customHeight="1">
      <x:c r="A16" s="14" t="str">
        <x:v>GV-15</x:v>
      </x:c>
      <x:c r="B16" s="14" t="str">
        <x:v>GV</x:v>
      </x:c>
      <x:c r="C16" s="14" t="str">
        <x:v>Cloud Governance</x:v>
      </x:c>
      <x:c r="D16" s="14" t="str">
        <x:v>Does the Bank maintain a cloud governance model covering accountability, shared responsibility, data location, security baseline, resilience, and exit?</x:v>
      </x:c>
      <x:c r="E16" s="14" t="str">
        <x:v>Apakah Bank memiliki model tata kelola cloud yang mencakup akuntabilitas, shared responsibility, lokasi data, baseline keamanan, ketahanan, dan exit?</x:v>
      </x:c>
      <x:c r="F16" s="14" t="str">
        <x:v>Cloud policy, shared-responsibility matrix, approved CSP/services, landing-zone standards, exit/reversibility plan.</x:v>
      </x:c>
      <x:c r="G16" s="14" t="str">
        <x:v>Sample cloud workloads; verify approved architecture, data location, security guardrails, recovery and exit feasibility.</x:v>
      </x:c>
      <x:c r="H16" s="14" t="str">
        <x:v>PADK OJK 1/2026 Lampiran I Bab V/VI; SEOJK 29/2022 IV</x:v>
      </x:c>
      <x:c r="I16" s="14" t="str">
        <x:v>NIST CSF 2.0 GV.SC/PR.PS; ISO 27001:2022 5.23</x:v>
      </x:c>
      <x:c r="J16" s="14" t="str">
        <x:v>All Commercial Banks</x:v>
      </x:c>
      <x:c r="K16" s="14" t="str">
        <x:v>High</x:v>
      </x:c>
      <x:c r="L16" s="14" t="str">
        <x:v>Not Tested</x:v>
      </x:c>
      <x:c r="M16" s="14" t="str"/>
      <x:c r="N16" s="14" t="str"/>
    </x:row>
    <x:row r="17" ht="66" customHeight="1">
      <x:c r="A17" s="14" t="str">
        <x:v>GV-16</x:v>
      </x:c>
      <x:c r="B17" s="14" t="str">
        <x:v>GV</x:v>
      </x:c>
      <x:c r="C17" s="14" t="str">
        <x:v>Privacy Governance &amp; DPO</x:v>
      </x:c>
      <x:c r="D17" s="14" t="str">
        <x:v>Is privacy governance established, including accountable privacy/DPO responsibilities where legally required and oversight of processors?</x:v>
      </x:c>
      <x:c r="E17" s="14" t="str">
        <x:v>Apakah tata kelola privasi telah ditetapkan, termasuk tanggung jawab pejabat/petugas pelindungan data pribadi apabila diwajibkan serta pengawasan terhadap pemroses?</x:v>
      </x:c>
      <x:c r="F17" s="14" t="str">
        <x:v>Privacy governance charter, DPO/privacy officer appointment and competency, processing agreements, oversight records.</x:v>
      </x:c>
      <x:c r="G17" s="14" t="str">
        <x:v>Assess whether legal DPO criteria are met; inspect independence/role; sample processor oversight and escalation.</x:v>
      </x:c>
      <x:c r="H17" s="14" t="str">
        <x:v>PADK OJK 1/2026 Lampiran I Bab VII; UU 27/2022 jo. Putusan MK 151/PUU-XXII/2024</x:v>
      </x:c>
      <x:c r="I17" s="14" t="str">
        <x:v>NIST CSF 2.0 GV.RR/GV.OC; ISO 27001:2022 5.34</x:v>
      </x:c>
      <x:c r="J17" s="14" t="str">
        <x:v>All Commercial Banks</x:v>
      </x:c>
      <x:c r="K17" s="14" t="str">
        <x:v>High</x:v>
      </x:c>
      <x:c r="L17" s="14" t="str">
        <x:v>Not Tested</x:v>
      </x:c>
      <x:c r="M17" s="14" t="str"/>
      <x:c r="N17" s="14" t="str"/>
    </x:row>
    <x:row r="18" ht="66" customHeight="1">
      <x:c r="A18" s="14" t="str">
        <x:v>GV-17</x:v>
      </x:c>
      <x:c r="B18" s="14" t="str">
        <x:v>GV</x:v>
      </x:c>
      <x:c r="C18" s="14" t="str">
        <x:v>Resources &amp; Budget</x:v>
      </x:c>
      <x:c r="D18" s="14" t="str">
        <x:v>Are cybersecurity staffing, tooling, and budget demonstrably sufficient for the Bank's risk profile and remediation commitments?</x:v>
      </x:c>
      <x:c r="E18" s="14" t="str">
        <x:v>Apakah kecukupan SDM, tools, dan anggaran keamanan siber dapat dibuktikan sesuai profil risiko Bank dan komitmen remediasi?</x:v>
      </x:c>
      <x:c r="F18" s="14" t="str">
        <x:v>Workforce plan, vacancies, budget, tool capacity/licenses, roadmap funding, outsourcing dependencies.</x:v>
      </x:c>
      <x:c r="G18" s="14" t="str">
        <x:v>Compare demand to capacity; review chronic vacancies/tool gaps; trace unfunded high-risk items to risk acceptance/escalation.</x:v>
      </x:c>
      <x:c r="H18" s="14" t="str">
        <x:v>SEOJK 29/2022 III; PADK OJK 1/2026 Lampiran I Bab II/IV</x:v>
      </x:c>
      <x:c r="I18" s="14" t="str">
        <x:v>NIST CSF 2.0 GV.RR/GV.RM</x:v>
      </x:c>
      <x:c r="J18" s="14" t="str">
        <x:v>All Commercial Banks</x:v>
      </x:c>
      <x:c r="K18" s="14" t="str">
        <x:v>Medium</x:v>
      </x:c>
      <x:c r="L18" s="14" t="str">
        <x:v>Not Tested</x:v>
      </x:c>
      <x:c r="M18" s="14" t="str"/>
      <x:c r="N18" s="14" t="str"/>
    </x:row>
    <x:row r="19" ht="66" customHeight="1">
      <x:c r="A19" s="14" t="str">
        <x:v>GV-18</x:v>
      </x:c>
      <x:c r="B19" s="14" t="str">
        <x:v>GV</x:v>
      </x:c>
      <x:c r="C19" s="14" t="str">
        <x:v>Security Culture</x:v>
      </x:c>
      <x:c r="D19" s="14" t="str">
        <x:v>Does management measure cybersecurity culture and role-based awareness effectiveness rather than relying only on training completion?</x:v>
      </x:c>
      <x:c r="E19" s="14" t="str">
        <x:v>Apakah manajemen mengukur budaya keamanan siber dan efektivitas awareness berbasis peran, bukan hanya tingkat penyelesaian pelatihan?</x:v>
      </x:c>
      <x:c r="F19" s="14" t="str">
        <x:v>Awareness strategy, role-based curriculum, phishing metrics, repeat-offender analysis, executive reporting.</x:v>
      </x:c>
      <x:c r="G19" s="14" t="str">
        <x:v>Review trends and target thresholds; sample high-risk roles; verify lessons from incidents are incorporated.</x:v>
      </x:c>
      <x:c r="H19" s="14" t="str">
        <x:v>SEOJK 29/2022 III; PADK OJK 1/2026 Lampiran I Bab II/IV</x:v>
      </x:c>
      <x:c r="I19" s="14" t="str">
        <x:v>NIST CSF 2.0 PR.AT/GV.OV; ISO 27001:2022 6.3</x:v>
      </x:c>
      <x:c r="J19" s="14" t="str">
        <x:v>All Commercial Banks</x:v>
      </x:c>
      <x:c r="K19" s="14" t="str">
        <x:v>Medium</x:v>
      </x:c>
      <x:c r="L19" s="14" t="str">
        <x:v>Not Tested</x:v>
      </x:c>
      <x:c r="M19" s="14" t="str"/>
      <x:c r="N19" s="14" t="str"/>
    </x:row>
    <x:row r="20" ht="66" customHeight="1">
      <x:c r="A20" s="14" t="str">
        <x:v>GV-19</x:v>
      </x:c>
      <x:c r="B20" s="14" t="str">
        <x:v>GV</x:v>
      </x:c>
      <x:c r="C20" s="14" t="str">
        <x:v>BI KKS Governance</x:v>
      </x:c>
      <x:c r="D20" s="14" t="str">
        <x:v>Where applicable, has the Bank implemented Bank Indonesia's KKS governance framework according to its BI-regulated classification?</x:v>
      </x:c>
      <x:c r="E20" s="14" t="str">
        <x:v>Jika berlaku, apakah Bank telah menerapkan kerangka tata kelola KKS Bank Indonesia sesuai klasifikasi sebagai pihak yang diatur/diawasi BI?</x:v>
      </x:c>
      <x:c r="F20" s="14" t="str">
        <x:v>BI classification, KKS strategy/policy, governance structure, annual KKS reporting, gap assessment.</x:v>
      </x:c>
      <x:c r="G20" s="14" t="str">
        <x:v>Confirm applicability/classification; map required KKS elements to implemented controls and latest BI reporting.</x:v>
      </x:c>
      <x:c r="H20" s="14" t="str">
        <x:v>PBI 2/2024; PADG 24/2024</x:v>
      </x:c>
      <x:c r="I20" s="14" t="str">
        <x:v>NIST CSF 2.0 GV.*</x:v>
      </x:c>
      <x:c r="J20" s="14" t="str">
        <x:v>Conditional – BI-regulated / payment-system activities</x:v>
      </x:c>
      <x:c r="K20" s="14" t="str">
        <x:v>High</x:v>
      </x:c>
      <x:c r="L20" s="14" t="str">
        <x:v>Not Tested</x:v>
      </x:c>
      <x:c r="M20" s="14" t="str"/>
      <x:c r="N20" s="14" t="str"/>
    </x:row>
    <x:row r="21" ht="66" customHeight="1">
      <x:c r="A21" s="14" t="str">
        <x:v>GV-20</x:v>
      </x:c>
      <x:c r="B21" s="14" t="str">
        <x:v>GV</x:v>
      </x:c>
      <x:c r="C21" s="14" t="str">
        <x:v>Payment-System Governance</x:v>
      </x:c>
      <x:c r="D21" s="14" t="str">
        <x:v>Where the Bank acts as a payment-system provider/participant, are governance, cyber reliability, and TIKMI-related obligations under the 2025–2026 BI framework embedded in control governance?</x:v>
      </x:c>
      <x:c r="E21" s="14" t="str">
        <x:v>Jika Bank bertindak sebagai penyelenggara/peserta sistem pembayaran, apakah kewajiban tata kelola, keandalan siber, dan TIKMI dalam kerangka BI 2025–2026 telah diintegrasikan ke tata kelola kontrol?</x:v>
      </x:c>
      <x:c r="F21" s="14" t="str">
        <x:v>PJP/PIP/participant status, TIKMI assessment, governance procedures, BI submissions, remediation plan.</x:v>
      </x:c>
      <x:c r="G21" s="14" t="str">
        <x:v>Confirm scope and effective-date obligations; reconcile BI assessment outcomes to remediation and executive oversight.</x:v>
      </x:c>
      <x:c r="H21" s="14" t="str">
        <x:v>PBI 10/2025 and implementing BI regulations effective 31 Mar 2026</x:v>
      </x:c>
      <x:c r="I21" s="14" t="str">
        <x:v>NIST CSF 2.0 GV.OC/GV.OV</x:v>
      </x:c>
      <x:c r="J21" s="14" t="str">
        <x:v>Conditional – Payment System</x:v>
      </x:c>
      <x:c r="K21" s="14" t="str">
        <x:v>High</x:v>
      </x:c>
      <x:c r="L21" s="14" t="str">
        <x:v>Not Tested</x:v>
      </x:c>
      <x:c r="M21" s="14" t="str"/>
      <x:c r="N21" s="14" t="str"/>
    </x:row>
    <x:row r="22" ht="66" customHeight="1">
      <x:c r="A22" s="14" t="str">
        <x:v>ID-01</x:v>
      </x:c>
      <x:c r="B22" s="14" t="str">
        <x:v>ID</x:v>
      </x:c>
      <x:c r="C22" s="14" t="str">
        <x:v>Asset Inventory</x:v>
      </x:c>
      <x:c r="D22" s="14" t="str">
        <x:v>Does the Bank maintain a complete, current inventory of hardware, software, network, cloud, security, and infrastructure assets with accountable owners?</x:v>
      </x:c>
      <x:c r="E22" s="14" t="str">
        <x:v>Apakah Bank memelihara inventaris aset perangkat keras, perangkat lunak, jaringan, cloud, keamanan, dan infrastruktur yang lengkap, terkini, dan memiliki owner?</x:v>
      </x:c>
      <x:c r="F22" s="14" t="str">
        <x:v>CMDB/asset inventory, discovery-tool output, owners, location, criticality, lifecycle status.</x:v>
      </x:c>
      <x:c r="G22" s="14" t="str">
        <x:v>Reconcile automated discovery samples to CMDB; test additions/removals; identify unknown/unmanaged assets.</x:v>
      </x:c>
      <x:c r="H22" s="14" t="str">
        <x:v>PADK OJK 1/2026 Lampiran I Bab IV; SEOJK 29/2022 IV.2</x:v>
      </x:c>
      <x:c r="I22" s="14" t="str">
        <x:v>NIST CSF 2.0 ID.AM; CIS v8.1 Controls 1-2</x:v>
      </x:c>
      <x:c r="J22" s="14" t="str">
        <x:v>All Commercial Banks</x:v>
      </x:c>
      <x:c r="K22" s="14" t="str">
        <x:v>High</x:v>
      </x:c>
      <x:c r="L22" s="14" t="str">
        <x:v>Not Tested</x:v>
      </x:c>
      <x:c r="M22" s="14" t="str"/>
      <x:c r="N22" s="14" t="str"/>
    </x:row>
    <x:row r="23" ht="66" customHeight="1">
      <x:c r="A23" s="14" t="str">
        <x:v>ID-02</x:v>
      </x:c>
      <x:c r="B23" s="14" t="str">
        <x:v>ID</x:v>
      </x:c>
      <x:c r="C23" s="14" t="str">
        <x:v>Critical Asset Classification</x:v>
      </x:c>
      <x:c r="D23" s="14" t="str">
        <x:v>Are critical technology assets and information assets classified using defined business-impact and security criteria?</x:v>
      </x:c>
      <x:c r="E23" s="14" t="str">
        <x:v>Apakah aset teknologi dan informasi kritikal diklasifikasikan berdasarkan kriteria dampak bisnis dan keamanan yang ditetapkan?</x:v>
      </x:c>
      <x:c r="F23" s="14" t="str">
        <x:v>Asset criticality methodology, classifications, business-owner approvals, dependency maps.</x:v>
      </x:c>
      <x:c r="G23" s="14" t="str">
        <x:v>Sample critical and noncritical assets; verify ratings against business impact and security requirements.</x:v>
      </x:c>
      <x:c r="H23" s="14" t="str">
        <x:v>SEOJK 29/2022 IV.2; PADK OJK 1/2026 Lampiran I Bab IV</x:v>
      </x:c>
      <x:c r="I23" s="14" t="str">
        <x:v>NIST CSF 2.0 ID.AM; ISO 27001:2022 5.9/5.12</x:v>
      </x:c>
      <x:c r="J23" s="14" t="str">
        <x:v>All Commercial Banks</x:v>
      </x:c>
      <x:c r="K23" s="14" t="str">
        <x:v>High</x:v>
      </x:c>
      <x:c r="L23" s="14" t="str">
        <x:v>Not Tested</x:v>
      </x:c>
      <x:c r="M23" s="14" t="str"/>
      <x:c r="N23" s="14" t="str"/>
    </x:row>
    <x:row r="24" ht="66" customHeight="1">
      <x:c r="A24" s="14" t="str">
        <x:v>ID-03</x:v>
      </x:c>
      <x:c r="B24" s="14" t="str">
        <x:v>ID</x:v>
      </x:c>
      <x:c r="C24" s="14" t="str">
        <x:v>Data Inventory &amp; Classification</x:v>
      </x:c>
      <x:c r="D24" s="14" t="str">
        <x:v>Does the Bank maintain an inventory and classification of data, including personal, sensitive, confidential, and regulated data?</x:v>
      </x:c>
      <x:c r="E24" s="14" t="str">
        <x:v>Apakah Bank memiliki inventaris dan klasifikasi data termasuk data pribadi, sensitif, rahasia, dan data yang diatur?</x:v>
      </x:c>
      <x:c r="F24" s="14" t="str">
        <x:v>Data catalogue, classification standard, data owners/stewards, lineage/locations, sensitive-data discovery results.</x:v>
      </x:c>
      <x:c r="G24" s="14" t="str">
        <x:v>Sample datasets across core, digital, analytics and cloud; verify classification and protection are consistent.</x:v>
      </x:c>
      <x:c r="H24" s="14" t="str">
        <x:v>PADK OJK 1/2026 Lampiran I Bab VII</x:v>
      </x:c>
      <x:c r="I24" s="14" t="str">
        <x:v>NIST CSF 2.0 ID.AM/PR.DS; ISO 27001:2022 5.12-5.13</x:v>
      </x:c>
      <x:c r="J24" s="14" t="str">
        <x:v>All Commercial Banks</x:v>
      </x:c>
      <x:c r="K24" s="14" t="str">
        <x:v>High</x:v>
      </x:c>
      <x:c r="L24" s="14" t="str">
        <x:v>Not Tested</x:v>
      </x:c>
      <x:c r="M24" s="14" t="str"/>
      <x:c r="N24" s="14" t="str"/>
    </x:row>
    <x:row r="25" ht="66" customHeight="1">
      <x:c r="A25" s="14" t="str">
        <x:v>ID-04</x:v>
      </x:c>
      <x:c r="B25" s="14" t="str">
        <x:v>ID</x:v>
      </x:c>
      <x:c r="C25" s="14" t="str">
        <x:v>Business Service Mapping</x:v>
      </x:c>
      <x:c r="D25" s="14" t="str">
        <x:v>Are critical business services mapped to applications, infrastructure, data, people, facilities, and external dependencies?</x:v>
      </x:c>
      <x:c r="E25" s="14" t="str">
        <x:v>Apakah layanan bisnis kritikal dipetakan ke aplikasi, infrastruktur, data, SDM, fasilitas, dan ketergantungan eksternal?</x:v>
      </x:c>
      <x:c r="F25" s="14" t="str">
        <x:v>Service catalogue, dependency maps, CMDB relationships, third-party dependencies.</x:v>
      </x:c>
      <x:c r="G25" s="14" t="str">
        <x:v>Select critical services; trace end-to-end dependencies; identify single points of failure or undocumented dependencies.</x:v>
      </x:c>
      <x:c r="H25" s="14" t="str">
        <x:v>PADK OJK 1/2026 Lampiran I Bab IV; SEOJK 24/2023</x:v>
      </x:c>
      <x:c r="I25" s="14" t="str">
        <x:v>NIST CSF 2.0 ID.AM/PR.IR; Basel Operational Resilience</x:v>
      </x:c>
      <x:c r="J25" s="14" t="str">
        <x:v>All Commercial Banks</x:v>
      </x:c>
      <x:c r="K25" s="14" t="str">
        <x:v>High</x:v>
      </x:c>
      <x:c r="L25" s="14" t="str">
        <x:v>Not Tested</x:v>
      </x:c>
      <x:c r="M25" s="14" t="str"/>
      <x:c r="N25" s="14" t="str"/>
    </x:row>
    <x:row r="26" ht="66" customHeight="1">
      <x:c r="A26" s="14" t="str">
        <x:v>ID-05</x:v>
      </x:c>
      <x:c r="B26" s="14" t="str">
        <x:v>ID</x:v>
      </x:c>
      <x:c r="C26" s="14" t="str">
        <x:v>Business Impact Analysis</x:v>
      </x:c>
      <x:c r="D26" s="14" t="str">
        <x:v>Is the BIA periodically updated and does it set credible MTPD, RTO, RPO, dependency, and recovery-priority requirements?</x:v>
      </x:c>
      <x:c r="E26" s="14" t="str">
        <x:v>Apakah BIA diperbarui secara berkala dan menetapkan MTPD, RTO, RPO, ketergantungan, serta prioritas pemulihan yang kredibel?</x:v>
      </x:c>
      <x:c r="F26" s="14" t="str">
        <x:v>BIA methodology/results, service owners' sign-off, RTO/RPO, dependency assumptions.</x:v>
      </x:c>
      <x:c r="G26" s="14" t="str">
        <x:v>Sample critical services; challenge impact assumptions using outage history/transaction volumes; reconcile to DR design.</x:v>
      </x:c>
      <x:c r="H26" s="14" t="str">
        <x:v>PADK OJK 1/2026 Lampiran I Bab IV</x:v>
      </x:c>
      <x:c r="I26" s="14" t="str">
        <x:v>NIST CSF 2.0 ID.RA/PR.IR; ISO 22301</x:v>
      </x:c>
      <x:c r="J26" s="14" t="str">
        <x:v>All Commercial Banks</x:v>
      </x:c>
      <x:c r="K26" s="14" t="str">
        <x:v>High</x:v>
      </x:c>
      <x:c r="L26" s="14" t="str">
        <x:v>Not Tested</x:v>
      </x:c>
      <x:c r="M26" s="14" t="str"/>
      <x:c r="N26" s="14" t="str"/>
    </x:row>
    <x:row r="27" ht="66" customHeight="1">
      <x:c r="A27" s="14" t="str">
        <x:v>ID-06</x:v>
      </x:c>
      <x:c r="B27" s="14" t="str">
        <x:v>ID</x:v>
      </x:c>
      <x:c r="C27" s="14" t="str">
        <x:v>Cyber Inherent Risk</x:v>
      </x:c>
      <x:c r="D27" s="14" t="str">
        <x:v>Does the Bank perform the annual inherent cyber-risk assessment using technology, products, organizational characteristics, and incident history as required by OJK?</x:v>
      </x:c>
      <x:c r="E27" s="14" t="str">
        <x:v>Apakah Bank melakukan penilaian risiko inheren siber tahunan berdasarkan teknologi, produk, karakteristik organisasi, dan rekam jejak insiden sebagaimana dipersyaratkan OJK?</x:v>
      </x:c>
      <x:c r="F27" s="14" t="str">
        <x:v>Annual inherent-risk working paper, parameter evidence, approval, OJK submission.</x:v>
      </x:c>
      <x:c r="G27" s="14" t="str">
        <x:v>Reperform selected parameters; verify evidence supports ratings and changes from prior year are explained.</x:v>
      </x:c>
      <x:c r="H27" s="14" t="str">
        <x:v>SEOJK 29/2022 II</x:v>
      </x:c>
      <x:c r="I27" s="14" t="str">
        <x:v>NIST CSF 2.0 ID.RA/GV.RM</x:v>
      </x:c>
      <x:c r="J27" s="14" t="str">
        <x:v>All Commercial Banks</x:v>
      </x:c>
      <x:c r="K27" s="14" t="str">
        <x:v>High</x:v>
      </x:c>
      <x:c r="L27" s="14" t="str">
        <x:v>Not Tested</x:v>
      </x:c>
      <x:c r="M27" s="14" t="str"/>
      <x:c r="N27" s="14" t="str"/>
    </x:row>
    <x:row r="28" ht="66" customHeight="1">
      <x:c r="A28" s="14" t="str">
        <x:v>ID-07</x:v>
      </x:c>
      <x:c r="B28" s="14" t="str">
        <x:v>ID</x:v>
      </x:c>
      <x:c r="C28" s="14" t="str">
        <x:v>Cyber Risk Register</x:v>
      </x:c>
      <x:c r="D28" s="14" t="str">
        <x:v>Are cyber risks recorded at actionable scenario level with causes, assets, threats, impacts, controls, residual risk, owners, and treatment plans?</x:v>
      </x:c>
      <x:c r="E28" s="14" t="str">
        <x:v>Apakah risiko siber dicatat pada tingkat skenario yang actionable dengan penyebab, aset, ancaman, dampak, kontrol, residual risk, owner, dan treatment plan?</x:v>
      </x:c>
      <x:c r="F28" s="14" t="str">
        <x:v>Cyber risk register, scenario library, control assessments, treatment plans, acceptance records.</x:v>
      </x:c>
      <x:c r="G28" s="14" t="str">
        <x:v>Sample high risks; trace scenario to assets/threat intel/control evidence; verify residual-risk calculations and approvals.</x:v>
      </x:c>
      <x:c r="H28" s="14" t="str">
        <x:v>SEOJK 29/2022 III; PADK OJK 1/2026 Lampiran I Bab IV</x:v>
      </x:c>
      <x:c r="I28" s="14" t="str">
        <x:v>NIST CSF 2.0 ID.RA/GV.RM</x:v>
      </x:c>
      <x:c r="J28" s="14" t="str">
        <x:v>All Commercial Banks</x:v>
      </x:c>
      <x:c r="K28" s="14" t="str">
        <x:v>High</x:v>
      </x:c>
      <x:c r="L28" s="14" t="str">
        <x:v>Not Tested</x:v>
      </x:c>
      <x:c r="M28" s="14" t="str"/>
      <x:c r="N28" s="14" t="str"/>
    </x:row>
    <x:row r="29" ht="66" customHeight="1">
      <x:c r="A29" s="14" t="str">
        <x:v>ID-08</x:v>
      </x:c>
      <x:c r="B29" s="14" t="str">
        <x:v>ID</x:v>
      </x:c>
      <x:c r="C29" s="14" t="str">
        <x:v>Threat Modeling</x:v>
      </x:c>
      <x:c r="D29" s="14" t="str">
        <x:v>Are material systems and changes subject to threat modeling that considers realistic attack paths and abuse cases?</x:v>
      </x:c>
      <x:c r="E29" s="14" t="str">
        <x:v>Apakah sistem dan perubahan material menjalani threat modeling yang mempertimbangkan attack path dan abuse case yang realistis?</x:v>
      </x:c>
      <x:c r="F29" s="14" t="str">
        <x:v>Threat models, architecture diagrams, abuse cases, security requirements, remediation decisions.</x:v>
      </x:c>
      <x:c r="G29" s="14" t="str">
        <x:v>Sample new/high-risk applications; verify identified threats become design controls and unresolved risks are accepted.</x:v>
      </x:c>
      <x:c r="H29" s="14" t="str">
        <x:v>PADK OJK 1/2026 Lampiran I Bab III/IV; SEOJK 29/2022 IV.2</x:v>
      </x:c>
      <x:c r="I29" s="14" t="str">
        <x:v>NIST CSF 2.0 ID.RA; ISO 27001:2022 8.25/8.27</x:v>
      </x:c>
      <x:c r="J29" s="14" t="str">
        <x:v>All Commercial Banks</x:v>
      </x:c>
      <x:c r="K29" s="14" t="str">
        <x:v>Medium</x:v>
      </x:c>
      <x:c r="L29" s="14" t="str">
        <x:v>Not Tested</x:v>
      </x:c>
      <x:c r="M29" s="14" t="str"/>
      <x:c r="N29" s="14" t="str"/>
    </x:row>
    <x:row r="30" ht="66" customHeight="1">
      <x:c r="A30" s="14" t="str">
        <x:v>ID-09</x:v>
      </x:c>
      <x:c r="B30" s="14" t="str">
        <x:v>ID</x:v>
      </x:c>
      <x:c r="C30" s="14" t="str">
        <x:v>Third-Party Concentration</x:v>
      </x:c>
      <x:c r="D30" s="14" t="str">
        <x:v>Does the Bank identify concentration, fourth-party, geographic, cloud-region, and common-service dependencies that could create systemic outages?</x:v>
      </x:c>
      <x:c r="E30" s="14" t="str">
        <x:v>Apakah Bank mengidentifikasi risiko konsentrasi, fourth party, geografis, region cloud, dan common service yang dapat menimbulkan gangguan sistemik?</x:v>
      </x:c>
      <x:c r="F30" s="14" t="str">
        <x:v>Vendor dependency map, concentration analysis, fourth-party disclosures, cloud-region inventory.</x:v>
      </x:c>
      <x:c r="G30" s="14" t="str">
        <x:v>Identify top critical vendors/services; analyze correlated dependencies and validate mitigations/exit alternatives.</x:v>
      </x:c>
      <x:c r="H30" s="14" t="str">
        <x:v>PADK OJK 1/2026 Lampiran I Bab V</x:v>
      </x:c>
      <x:c r="I30" s="14" t="str">
        <x:v>NIST CSF 2.0 GV.SC/ID.RA</x:v>
      </x:c>
      <x:c r="J30" s="14" t="str">
        <x:v>All Commercial Banks</x:v>
      </x:c>
      <x:c r="K30" s="14" t="str">
        <x:v>High</x:v>
      </x:c>
      <x:c r="L30" s="14" t="str">
        <x:v>Not Tested</x:v>
      </x:c>
      <x:c r="M30" s="14" t="str"/>
      <x:c r="N30" s="14" t="str"/>
    </x:row>
    <x:row r="31" ht="66" customHeight="1">
      <x:c r="A31" s="14" t="str">
        <x:v>ID-10</x:v>
      </x:c>
      <x:c r="B31" s="14" t="str">
        <x:v>ID</x:v>
      </x:c>
      <x:c r="C31" s="14" t="str">
        <x:v>External Attack Surface</x:v>
      </x:c>
      <x:c r="D31" s="14" t="str">
        <x:v>Does the Bank continuously identify and govern internet-facing domains, IPs, certificates, applications, cloud resources, and exposed services?</x:v>
      </x:c>
      <x:c r="E31" s="14" t="str">
        <x:v>Apakah Bank secara berkelanjutan mengidentifikasi dan mengelola domain, IP, sertifikat, aplikasi, resource cloud, dan layanan yang terekspos ke internet?</x:v>
      </x:c>
      <x:c r="F31" s="14" t="str">
        <x:v>External asset inventory, ASM results, DNS/certificate inventory, ownership, remediation records.</x:v>
      </x:c>
      <x:c r="G31" s="14" t="str">
        <x:v>Compare independent internet discovery to approved inventory; sample unknown exposures and remediation SLA.</x:v>
      </x:c>
      <x:c r="H31" s="14" t="str">
        <x:v>SEOJK 29/2022 IV.2; PADK OJK 1/2026 Lampiran I Bab IV</x:v>
      </x:c>
      <x:c r="I31" s="14" t="str">
        <x:v>NIST CSF 2.0 ID.AM/DE.CM; CIS v8.1 Controls 1-2/7</x:v>
      </x:c>
      <x:c r="J31" s="14" t="str">
        <x:v>All Commercial Banks</x:v>
      </x:c>
      <x:c r="K31" s="14" t="str">
        <x:v>High</x:v>
      </x:c>
      <x:c r="L31" s="14" t="str">
        <x:v>Not Tested</x:v>
      </x:c>
      <x:c r="M31" s="14" t="str"/>
      <x:c r="N31" s="14" t="str"/>
    </x:row>
    <x:row r="32" ht="66" customHeight="1">
      <x:c r="A32" s="14" t="str">
        <x:v>ID-11</x:v>
      </x:c>
      <x:c r="B32" s="14" t="str">
        <x:v>ID</x:v>
      </x:c>
      <x:c r="C32" s="14" t="str">
        <x:v>API Inventory</x:v>
      </x:c>
      <x:c r="D32" s="14" t="str">
        <x:v>Is there a complete API inventory covering internal, external, partner, mobile, open-banking, legacy, shadow, and zombie APIs?</x:v>
      </x:c>
      <x:c r="E32" s="14" t="str">
        <x:v>Apakah terdapat inventaris API yang lengkap mencakup API internal, eksternal, partner, mobile, open banking, legacy, shadow, dan zombie?</x:v>
      </x:c>
      <x:c r="F32" s="14" t="str">
        <x:v>API catalogue/gateway inventory, code repositories, discovery scans, owners, versions, lifecycle state.</x:v>
      </x:c>
      <x:c r="G32" s="14" t="str">
        <x:v>Reconcile gateway, source-code and traffic discovery; sample deprecated APIs for disablement and ownership.</x:v>
      </x:c>
      <x:c r="H32" s="14" t="str">
        <x:v>PADK OJK 1/2026 Lampiran I Bab III/IV; POJK 21/2023 where applicable</x:v>
      </x:c>
      <x:c r="I32" s="14" t="str">
        <x:v>NIST CSF 2.0 ID.AM; NIST SP 800-228 Update 1</x:v>
      </x:c>
      <x:c r="J32" s="14" t="str">
        <x:v>All Commercial Banks</x:v>
      </x:c>
      <x:c r="K32" s="14" t="str">
        <x:v>High</x:v>
      </x:c>
      <x:c r="L32" s="14" t="str">
        <x:v>Not Tested</x:v>
      </x:c>
      <x:c r="M32" s="14" t="str"/>
      <x:c r="N32" s="14" t="str"/>
    </x:row>
    <x:row r="33" ht="66" customHeight="1">
      <x:c r="A33" s="14" t="str">
        <x:v>ID-12</x:v>
      </x:c>
      <x:c r="B33" s="14" t="str">
        <x:v>ID</x:v>
      </x:c>
      <x:c r="C33" s="14" t="str">
        <x:v>Vulnerability Exposure Inventory</x:v>
      </x:c>
      <x:c r="D33" s="14" t="str">
        <x:v>Can the Bank identify vulnerability exposure across all asset classes and link findings to accountable assets and owners?</x:v>
      </x:c>
      <x:c r="E33" s="14" t="str">
        <x:v>Apakah Bank dapat mengidentifikasi eksposur kerentanan pada seluruh kelas aset dan menghubungkan temuan ke aset serta owner yang bertanggung jawab?</x:v>
      </x:c>
      <x:c r="F33" s="14" t="str">
        <x:v>Scanner coverage, authenticated-scan status, vulnerability repository, asset-owner mapping.</x:v>
      </x:c>
      <x:c r="G33" s="14" t="str">
        <x:v>Compare scanner coverage to CMDB/cloud/container inventories; investigate gaps and stale agents.</x:v>
      </x:c>
      <x:c r="H33" s="14" t="str">
        <x:v>SEOJK 29/2022 IV.2; PADK OJK 1/2026 Lampiran I Bab IV</x:v>
      </x:c>
      <x:c r="I33" s="14" t="str">
        <x:v>NIST CSF 2.0 ID.RA; CIS v8.1 Control 7</x:v>
      </x:c>
      <x:c r="J33" s="14" t="str">
        <x:v>All Commercial Banks</x:v>
      </x:c>
      <x:c r="K33" s="14" t="str">
        <x:v>High</x:v>
      </x:c>
      <x:c r="L33" s="14" t="str">
        <x:v>Not Tested</x:v>
      </x:c>
      <x:c r="M33" s="14" t="str"/>
      <x:c r="N33" s="14" t="str"/>
    </x:row>
    <x:row r="34" ht="66" customHeight="1">
      <x:c r="A34" s="14" t="str">
        <x:v>ID-13</x:v>
      </x:c>
      <x:c r="B34" s="14" t="str">
        <x:v>ID</x:v>
      </x:c>
      <x:c r="C34" s="14" t="str">
        <x:v>Technology Lifecycle</x:v>
      </x:c>
      <x:c r="D34" s="14" t="str">
        <x:v>Does the Bank identify EOL/EOS hardware, software, operating systems, databases, middleware, and network/security devices before support ends?</x:v>
      </x:c>
      <x:c r="E34" s="14" t="str">
        <x:v>Apakah Bank mengidentifikasi perangkat keras, perangkat lunak, OS, database, middleware, serta perangkat jaringan/keamanan yang EOL/EOS sebelum dukungan berakhir?</x:v>
      </x:c>
      <x:c r="F34" s="14" t="str">
        <x:v>Technology lifecycle register, vendor support dates, obsolescence roadmap, exceptions.</x:v>
      </x:c>
      <x:c r="G34" s="14" t="str">
        <x:v>Reconcile inventory to vendor support data; sample overdue EOL items; verify compensating controls and funded replacement.</x:v>
      </x:c>
      <x:c r="H34" s="14" t="str">
        <x:v>PADK OJK 1/2026 Lampiran I Bab III/IV</x:v>
      </x:c>
      <x:c r="I34" s="14" t="str">
        <x:v>NIST CSF 2.0 ID.AM/PR.PS; CIS v8.1 Controls 2/4</x:v>
      </x:c>
      <x:c r="J34" s="14" t="str">
        <x:v>All Commercial Banks</x:v>
      </x:c>
      <x:c r="K34" s="14" t="str">
        <x:v>High</x:v>
      </x:c>
      <x:c r="L34" s="14" t="str">
        <x:v>Not Tested</x:v>
      </x:c>
      <x:c r="M34" s="14" t="str"/>
      <x:c r="N34" s="14" t="str"/>
    </x:row>
    <x:row r="35" ht="66" customHeight="1">
      <x:c r="A35" s="14" t="str">
        <x:v>ID-14</x:v>
      </x:c>
      <x:c r="B35" s="14" t="str">
        <x:v>ID</x:v>
      </x:c>
      <x:c r="C35" s="14" t="str">
        <x:v>Personal Data Processing Inventory</x:v>
      </x:c>
      <x:c r="D35" s="14" t="str">
        <x:v>Does the Bank maintain an accurate record of personal-data processing purposes, legal bases, systems, recipients, retention, and processors?</x:v>
      </x:c>
      <x:c r="E35" s="14" t="str">
        <x:v>Apakah Bank memiliki catatan pemrosesan data pribadi yang akurat mengenai tujuan, dasar pemrosesan, sistem, penerima, retensi, dan pemroses?</x:v>
      </x:c>
      <x:c r="F35" s="14" t="str">
        <x:v>Record of processing activities/data map, legal basis, retention schedule, processor list, data lineage.</x:v>
      </x:c>
      <x:c r="G35" s="14" t="str">
        <x:v>Sample products/processes; trace collected data to purpose/legal basis/retention and external recipients.</x:v>
      </x:c>
      <x:c r="H35" s="14" t="str">
        <x:v>PADK OJK 1/2026 Lampiran I Bab VII; UU 27/2022</x:v>
      </x:c>
      <x:c r="I35" s="14" t="str">
        <x:v>NIST CSF 2.0 ID.AM/GV.OC; ISO 27001:2022 5.34</x:v>
      </x:c>
      <x:c r="J35" s="14" t="str">
        <x:v>All Commercial Banks</x:v>
      </x:c>
      <x:c r="K35" s="14" t="str">
        <x:v>High</x:v>
      </x:c>
      <x:c r="L35" s="14" t="str">
        <x:v>Not Tested</x:v>
      </x:c>
      <x:c r="M35" s="14" t="str"/>
      <x:c r="N35" s="14" t="str"/>
    </x:row>
    <x:row r="36" ht="66" customHeight="1">
      <x:c r="A36" s="14" t="str">
        <x:v>ID-15</x:v>
      </x:c>
      <x:c r="B36" s="14" t="str">
        <x:v>ID</x:v>
      </x:c>
      <x:c r="C36" s="14" t="str">
        <x:v>Cross-Border Data Flows</x:v>
      </x:c>
      <x:c r="D36" s="14" t="str">
        <x:v>Are cross-border personal and regulated data transfers inventoried, assessed, approved, and supported by the required transfer safeguards?</x:v>
      </x:c>
      <x:c r="E36" s="14" t="str">
        <x:v>Apakah transfer data pribadi dan data yang diatur lintas negara diinventarisasi, dinilai, disetujui, dan didukung safeguard transfer yang diwajibkan?</x:v>
      </x:c>
      <x:c r="F36" s="14" t="str">
        <x:v>Cross-border data map, transfer assessment, contracts/safeguards, approvals, data-location evidence.</x:v>
      </x:c>
      <x:c r="G36" s="14" t="str">
        <x:v>Sample overseas transfers/cloud processing; verify legal basis, destination safeguards and OJK permissions where applicable.</x:v>
      </x:c>
      <x:c r="H36" s="14" t="str">
        <x:v>PADK OJK 1/2026 Lampiran I Bab VI/VII; UU 27/2022</x:v>
      </x:c>
      <x:c r="I36" s="14" t="str">
        <x:v>NIST CSF 2.0 GV.OC/ID.AM/PR.DS</x:v>
      </x:c>
      <x:c r="J36" s="14" t="str">
        <x:v>All Commercial Banks</x:v>
      </x:c>
      <x:c r="K36" s="14" t="str">
        <x:v>High</x:v>
      </x:c>
      <x:c r="L36" s="14" t="str">
        <x:v>Not Tested</x:v>
      </x:c>
      <x:c r="M36" s="14" t="str"/>
      <x:c r="N36" s="14" t="str"/>
    </x:row>
    <x:row r="37" ht="66" customHeight="1">
      <x:c r="A37" s="14" t="str">
        <x:v>ID-16</x:v>
      </x:c>
      <x:c r="B37" s="14" t="str">
        <x:v>ID</x:v>
      </x:c>
      <x:c r="C37" s="14" t="str">
        <x:v>BI Vital Information Infrastructure</x:v>
      </x:c>
      <x:c r="D37" s="14" t="str">
        <x:v>Where applicable, has the Bank identified and reported vital information infrastructure and related KKS scope under BI requirements?</x:v>
      </x:c>
      <x:c r="E37" s="14" t="str">
        <x:v>Jika berlaku, apakah Bank telah mengidentifikasi dan melaporkan infrastruktur informasi vital beserta cakupan KKS terkait sesuai ketentuan BI?</x:v>
      </x:c>
      <x:c r="F37" s="14" t="str">
        <x:v>BI KKS classification, vital-infrastructure inventory, annual report, supporting assessment.</x:v>
      </x:c>
      <x:c r="G37" s="14" t="str">
        <x:v>Confirm regulatory applicability and reporting; trace identified critical infrastructure to cyber controls and monitoring.</x:v>
      </x:c>
      <x:c r="H37" s="14" t="str">
        <x:v>PBI 2/2024; PADG 24/2024</x:v>
      </x:c>
      <x:c r="I37" s="14" t="str">
        <x:v>NIST CSF 2.0 ID.AM/ID.RA</x:v>
      </x:c>
      <x:c r="J37" s="14" t="str">
        <x:v>Conditional – BI-regulated / payment-system activities</x:v>
      </x:c>
      <x:c r="K37" s="14" t="str">
        <x:v>High</x:v>
      </x:c>
      <x:c r="L37" s="14" t="str">
        <x:v>Not Tested</x:v>
      </x:c>
      <x:c r="M37" s="14" t="str"/>
      <x:c r="N37" s="14" t="str"/>
    </x:row>
    <x:row r="38" ht="66" customHeight="1">
      <x:c r="A38" s="14" t="str">
        <x:v>ID-17</x:v>
      </x:c>
      <x:c r="B38" s="14" t="str">
        <x:v>ID</x:v>
      </x:c>
      <x:c r="C38" s="14" t="str">
        <x:v>Fraud-Cyber Scenarios</x:v>
      </x:c>
      <x:c r="D38" s="14" t="str">
        <x:v>Are cyber-enabled fraud scenarios integrated into threat and risk identification for digital banking and payment journeys?</x:v>
      </x:c>
      <x:c r="E38" s="14" t="str">
        <x:v>Apakah skenario fraud berbasis siber diintegrasikan dalam identifikasi ancaman dan risiko untuk digital banking serta journey pembayaran?</x:v>
      </x:c>
      <x:c r="F38" s="14" t="str">
        <x:v>Fraud risk assessment, cyber-fraud scenarios, attack trees, losses/near misses, control mapping.</x:v>
      </x:c>
      <x:c r="G38" s="14" t="str">
        <x:v>Sample high-risk customer journeys; trace fraud scenarios to preventive/detective controls and monitoring thresholds.</x:v>
      </x:c>
      <x:c r="H38" s="14" t="str">
        <x:v>POJK 21/2023; POJK 22/2023; SEOJK 29/2022</x:v>
      </x:c>
      <x:c r="I38" s="14" t="str">
        <x:v>NIST CSF 2.0 ID.RA/DE.AE</x:v>
      </x:c>
      <x:c r="J38" s="14" t="str">
        <x:v>All Commercial Banks</x:v>
      </x:c>
      <x:c r="K38" s="14" t="str">
        <x:v>High</x:v>
      </x:c>
      <x:c r="L38" s="14" t="str">
        <x:v>Not Tested</x:v>
      </x:c>
      <x:c r="M38" s="14" t="str"/>
      <x:c r="N38" s="14" t="str"/>
    </x:row>
    <x:row r="39" ht="66" customHeight="1">
      <x:c r="A39" s="14" t="str">
        <x:v>ID-18</x:v>
      </x:c>
      <x:c r="B39" s="14" t="str">
        <x:v>ID</x:v>
      </x:c>
      <x:c r="C39" s="14" t="str">
        <x:v>Emerging &amp; PQC Risk</x:v>
      </x:c>
      <x:c r="D39" s="14" t="str">
        <x:v>Does the Bank maintain an emerging-technology risk horizon, including cryptographic inventory and post-quantum migration considerations?</x:v>
      </x:c>
      <x:c r="E39" s="14" t="str">
        <x:v>Apakah Bank memiliki pemantauan risiko teknologi baru termasuk inventaris kriptografi dan pertimbangan migrasi post-quantum?</x:v>
      </x:c>
      <x:c r="F39" s="14" t="str">
        <x:v>Emerging-risk register, crypto inventory, key/certificate algorithms, PQC impact assessment and roadmap.</x:v>
      </x:c>
      <x:c r="G39" s="14" t="str">
        <x:v>Identify long-lived sensitive data and critical cryptographic dependencies; verify ownership and migration planning.</x:v>
      </x:c>
      <x:c r="H39" s="14" t="str">
        <x:v>PADK OJK 1/2026 Lampiran I Bab III/IV</x:v>
      </x:c>
      <x:c r="I39" s="14" t="str">
        <x:v>NIST CSF 2.0 ID.RA/ID.IM; NIST PQC standards/roadmap</x:v>
      </x:c>
      <x:c r="J39" s="14" t="str">
        <x:v>All Commercial Banks</x:v>
      </x:c>
      <x:c r="K39" s="14" t="str">
        <x:v>Medium</x:v>
      </x:c>
      <x:c r="L39" s="14" t="str">
        <x:v>Not Tested</x:v>
      </x:c>
      <x:c r="M39" s="14" t="str"/>
      <x:c r="N39" s="14" t="str"/>
    </x:row>
    <x:row r="40" ht="66" customHeight="1">
      <x:c r="A40" s="14" t="str">
        <x:v>PR-01</x:v>
      </x:c>
      <x:c r="B40" s="14" t="str">
        <x:v>PR</x:v>
      </x:c>
      <x:c r="C40" s="14" t="str">
        <x:v>Identity Lifecycle</x:v>
      </x:c>
      <x:c r="D40" s="14" t="str">
        <x:v>Are joiner, mover, and leaver access changes executed promptly and reconciled to authoritative HR records?</x:v>
      </x:c>
      <x:c r="E40" s="14" t="str">
        <x:v>Apakah perubahan akses joiner, mover, dan leaver dilakukan tepat waktu dan direkonsiliasi dengan data HR yang authoritative?</x:v>
      </x:c>
      <x:c r="F40" s="14" t="str">
        <x:v>IAM workflow, HR feed, provisioning/deprovisioning logs, SLA, exception reports.</x:v>
      </x:c>
      <x:c r="G40" s="14" t="str">
        <x:v>Sample joiners/movers/leavers including privileged users; measure timeliness; inspect orphaned accounts.</x:v>
      </x:c>
      <x:c r="H40" s="14" t="str">
        <x:v>PADK OJK 1/2026 Lampiran I Bab IV; SEOJK 29/2022 IV.3</x:v>
      </x:c>
      <x:c r="I40" s="14" t="str">
        <x:v>NIST CSF 2.0 PR.AA; ISO 27001:2022 5.16/5.18; CIS v8.1 Controls 5-6</x:v>
      </x:c>
      <x:c r="J40" s="14" t="str">
        <x:v>All Commercial Banks</x:v>
      </x:c>
      <x:c r="K40" s="14" t="str">
        <x:v>High</x:v>
      </x:c>
      <x:c r="L40" s="14" t="str">
        <x:v>Not Tested</x:v>
      </x:c>
      <x:c r="M40" s="14" t="str"/>
      <x:c r="N40" s="14" t="str"/>
    </x:row>
    <x:row r="41" ht="66" customHeight="1">
      <x:c r="A41" s="14" t="str">
        <x:v>PR-02</x:v>
      </x:c>
      <x:c r="B41" s="14" t="str">
        <x:v>PR</x:v>
      </x:c>
      <x:c r="C41" s="14" t="str">
        <x:v>Least Privilege &amp; RBAC</x:v>
      </x:c>
      <x:c r="D41" s="14" t="str">
        <x:v>Are access rights designed around least privilege, need-to-know, and approved role-based access?</x:v>
      </x:c>
      <x:c r="E41" s="14" t="str">
        <x:v>Apakah hak akses dirancang berdasarkan least privilege, need-to-know, dan role-based access yang disetujui?</x:v>
      </x:c>
      <x:c r="F41" s="14" t="str">
        <x:v>Role catalogue, entitlement matrix, SoD rules, access requests/approvals, exceptions.</x:v>
      </x:c>
      <x:c r="G41" s="14" t="str">
        <x:v>Sample critical roles and users; compare actual entitlements to approved role; test excess/SoD conflicts.</x:v>
      </x:c>
      <x:c r="H41" s="14" t="str">
        <x:v>PADK OJK 1/2026 Lampiran I Bab IV; SEOJK 29/2022 IV.3</x:v>
      </x:c>
      <x:c r="I41" s="14" t="str">
        <x:v>NIST CSF 2.0 PR.AA; ISO 27001:2022 5.15/5.18</x:v>
      </x:c>
      <x:c r="J41" s="14" t="str">
        <x:v>All Commercial Banks</x:v>
      </x:c>
      <x:c r="K41" s="14" t="str">
        <x:v>High</x:v>
      </x:c>
      <x:c r="L41" s="14" t="str">
        <x:v>Not Tested</x:v>
      </x:c>
      <x:c r="M41" s="14" t="str"/>
      <x:c r="N41" s="14" t="str"/>
    </x:row>
    <x:row r="42" ht="66" customHeight="1">
      <x:c r="A42" s="14" t="str">
        <x:v>PR-03</x:v>
      </x:c>
      <x:c r="B42" s="14" t="str">
        <x:v>PR</x:v>
      </x:c>
      <x:c r="C42" s="14" t="str">
        <x:v>Privileged Access Management</x:v>
      </x:c>
      <x:c r="D42" s="14" t="str">
        <x:v>Are privileged accounts centrally controlled, monitored, time-bounded where possible, and protected from misuse?</x:v>
      </x:c>
      <x:c r="E42" s="14" t="str">
        <x:v>Apakah akun privileged dikendalikan secara terpusat, dimonitor, dibatasi waktunya bila memungkinkan, dan dilindungi dari penyalahgunaan?</x:v>
      </x:c>
      <x:c r="F42" s="14" t="str">
        <x:v>PAM inventory/vault, privileged roles, session logs/recordings, password rotation, emergency IDs.</x:v>
      </x:c>
      <x:c r="G42" s="14" t="str">
        <x:v>Reconcile admin accounts to PAM; sample sessions; verify approvals, checkout, rotation, monitoring and unmanaged exceptions.</x:v>
      </x:c>
      <x:c r="H42" s="14" t="str">
        <x:v>PADK OJK 1/2026 Lampiran I Bab IV – Pengelolaan Privilege Access</x:v>
      </x:c>
      <x:c r="I42" s="14" t="str">
        <x:v>NIST CSF 2.0 PR.AA; ISO 27001:2022 8.2; CIS v8.1 Control 6</x:v>
      </x:c>
      <x:c r="J42" s="14" t="str">
        <x:v>All Commercial Banks</x:v>
      </x:c>
      <x:c r="K42" s="14" t="str">
        <x:v>Critical</x:v>
      </x:c>
      <x:c r="L42" s="14" t="str">
        <x:v>Not Tested</x:v>
      </x:c>
      <x:c r="M42" s="14" t="str"/>
      <x:c r="N42" s="14" t="str"/>
    </x:row>
    <x:row r="43" ht="66" customHeight="1">
      <x:c r="A43" s="14" t="str">
        <x:v>PR-04</x:v>
      </x:c>
      <x:c r="B43" s="14" t="str">
        <x:v>PR</x:v>
      </x:c>
      <x:c r="C43" s="14" t="str">
        <x:v>Dual Custody &amp; Break-Glass</x:v>
      </x:c>
      <x:c r="D43" s="14" t="str">
        <x:v>Are emergency/privileged credentials protected through dual custody, controlled storage, break-glass procedures, post-use password change, and documented use?</x:v>
      </x:c>
      <x:c r="E43" s="14" t="str">
        <x:v>Apakah credential darurat/privileged dilindungi melalui dual custody, penyimpanan terkendali, prosedur break-glass, penggantian password setelah digunakan, dan dokumentasi penggunaan?</x:v>
      </x:c>
      <x:c r="F43" s="14" t="str">
        <x:v>Dual-custody procedure, sealed/vaulted credentials, break-ID logs, post-use rotation records, incident/change tickets.</x:v>
      </x:c>
      <x:c r="G43" s="14" t="str">
        <x:v>Witness or inspect a sample break-glass process; confirm use is logged, reviewed, and password is changed after use.</x:v>
      </x:c>
      <x:c r="H43" s="14" t="str">
        <x:v>PADK OJK 1/2026 Lampiran I Bab IV – Pengelolaan Privilege Access</x:v>
      </x:c>
      <x:c r="I43" s="14" t="str">
        <x:v>NIST CSF 2.0 PR.AA; ISO 27001:2022 8.2</x:v>
      </x:c>
      <x:c r="J43" s="14" t="str">
        <x:v>All Commercial Banks</x:v>
      </x:c>
      <x:c r="K43" s="14" t="str">
        <x:v>Critical</x:v>
      </x:c>
      <x:c r="L43" s="14" t="str">
        <x:v>Not Tested</x:v>
      </x:c>
      <x:c r="M43" s="14" t="str"/>
      <x:c r="N43" s="14" t="str"/>
    </x:row>
    <x:row r="44" ht="66" customHeight="1">
      <x:c r="A44" s="14" t="str">
        <x:v>PR-05</x:v>
      </x:c>
      <x:c r="B44" s="14" t="str">
        <x:v>PR</x:v>
      </x:c>
      <x:c r="C44" s="14" t="str">
        <x:v>Multi-Factor Authentication</x:v>
      </x:c>
      <x:c r="D44" s="14" t="str">
        <x:v>Is phishing-resistant or strong MFA applied to privileged, remote, cloud, critical-system, and high-risk access according to risk?</x:v>
      </x:c>
      <x:c r="E44" s="14" t="str">
        <x:v>Apakah MFA yang kuat/phishing-resistant diterapkan untuk akses privileged, remote, cloud, sistem kritikal, dan akses berisiko tinggi sesuai risiko?</x:v>
      </x:c>
      <x:c r="F44" s="14" t="str">
        <x:v>MFA policy, IdP configuration, application coverage, exceptions, authentication logs.</x:v>
      </x:c>
      <x:c r="G44" s="14" t="str">
        <x:v>Reconcile critical applications/admin paths to MFA coverage; test exceptions and bypass methods.</x:v>
      </x:c>
      <x:c r="H44" s="14" t="str">
        <x:v>PADK OJK 1/2026 Lampiran I Bab IV; SEOJK 29/2022 IV.3</x:v>
      </x:c>
      <x:c r="I44" s="14" t="str">
        <x:v>NIST CSF 2.0 PR.AA; CIS v8.1 Control 6</x:v>
      </x:c>
      <x:c r="J44" s="14" t="str">
        <x:v>All Commercial Banks</x:v>
      </x:c>
      <x:c r="K44" s="14" t="str">
        <x:v>Critical</x:v>
      </x:c>
      <x:c r="L44" s="14" t="str">
        <x:v>Not Tested</x:v>
      </x:c>
      <x:c r="M44" s="14" t="str"/>
      <x:c r="N44" s="14" t="str"/>
    </x:row>
    <x:row r="45" ht="66" customHeight="1">
      <x:c r="A45" s="14" t="str">
        <x:v>PR-06</x:v>
      </x:c>
      <x:c r="B45" s="14" t="str">
        <x:v>PR</x:v>
      </x:c>
      <x:c r="C45" s="14" t="str">
        <x:v>Digital Transaction Authentication</x:v>
      </x:c>
      <x:c r="D45" s="14" t="str">
        <x:v>For digital services, are financial transactions protected by appropriate strong/customer authentication controls, including at least two factors where required?</x:v>
      </x:c>
      <x:c r="E45" s="14" t="str">
        <x:v>Untuk layanan digital, apakah transaksi finansial dilindungi dengan autentikasi nasabah yang memadai, termasuk paling sedikit dua faktor apabila diwajibkan?</x:v>
      </x:c>
      <x:c r="F45" s="14" t="str">
        <x:v>Digital-channel authentication design, transaction signing/OTP controls, risk-based authentication, fraud rules.</x:v>
      </x:c>
      <x:c r="G45" s="14" t="str">
        <x:v>Walk through high-risk transactions; test authentication, change-of-device/account recovery and bypass scenarios.</x:v>
      </x:c>
      <x:c r="H45" s="14" t="str">
        <x:v>POJK 21/2023; PADK OJK 1/2026 Lampiran I Bab IV</x:v>
      </x:c>
      <x:c r="I45" s="14" t="str">
        <x:v>NIST CSF 2.0 PR.AA; ISO 27001:2022 8.5</x:v>
      </x:c>
      <x:c r="J45" s="14" t="str">
        <x:v>Conditional – Digital Services</x:v>
      </x:c>
      <x:c r="K45" s="14" t="str">
        <x:v>Critical</x:v>
      </x:c>
      <x:c r="L45" s="14" t="str">
        <x:v>Not Tested</x:v>
      </x:c>
      <x:c r="M45" s="14" t="str"/>
      <x:c r="N45" s="14" t="str"/>
    </x:row>
    <x:row r="46" ht="66" customHeight="1">
      <x:c r="A46" s="14" t="str">
        <x:v>PR-07</x:v>
      </x:c>
      <x:c r="B46" s="14" t="str">
        <x:v>PR</x:v>
      </x:c>
      <x:c r="C46" s="14" t="str">
        <x:v>Password &amp; Session Security</x:v>
      </x:c>
      <x:c r="D46" s="14" t="str">
        <x:v>Are password, session, token, and account-lockout controls risk-based and resistant to common credential attacks?</x:v>
      </x:c>
      <x:c r="E46" s="14" t="str">
        <x:v>Apakah kontrol password, session, token, dan account lockout berbasis risiko serta tahan terhadap serangan credential yang umum?</x:v>
      </x:c>
      <x:c r="F46" s="14" t="str">
        <x:v>Authentication standard, IdP/app settings, session timeouts, lockout/rate-limit configuration, exception list.</x:v>
      </x:c>
      <x:c r="G46" s="14" t="str">
        <x:v>Sample critical systems and digital apps; inspect effective configuration and test session termination/reset paths.</x:v>
      </x:c>
      <x:c r="H46" s="14" t="str">
        <x:v>PADK OJK 1/2026 Lampiran I Bab IV</x:v>
      </x:c>
      <x:c r="I46" s="14" t="str">
        <x:v>NIST CSF 2.0 PR.AA; CIS v8.1 Controls 5-6</x:v>
      </x:c>
      <x:c r="J46" s="14" t="str">
        <x:v>All Commercial Banks</x:v>
      </x:c>
      <x:c r="K46" s="14" t="str">
        <x:v>High</x:v>
      </x:c>
      <x:c r="L46" s="14" t="str">
        <x:v>Not Tested</x:v>
      </x:c>
      <x:c r="M46" s="14" t="str"/>
      <x:c r="N46" s="14" t="str"/>
    </x:row>
    <x:row r="47" ht="66" customHeight="1">
      <x:c r="A47" s="14" t="str">
        <x:v>PR-08</x:v>
      </x:c>
      <x:c r="B47" s="14" t="str">
        <x:v>PR</x:v>
      </x:c>
      <x:c r="C47" s="14" t="str">
        <x:v>Service Accounts &amp; Secrets</x:v>
      </x:c>
      <x:c r="D47" s="14" t="str">
        <x:v>Are service accounts, API keys, certificates, and application secrets inventoried, least-privileged, rotated, and stored securely?</x:v>
      </x:c>
      <x:c r="E47" s="14" t="str">
        <x:v>Apakah service account, API key, sertifikat, dan application secret diinventarisasi, least-privileged, dirotasi, serta disimpan secara aman?</x:v>
      </x:c>
      <x:c r="F47" s="14" t="str">
        <x:v>Secrets inventory, vault/KMS, rotation logs, code scans, service-account ownership.</x:v>
      </x:c>
      <x:c r="G47" s="14" t="str">
        <x:v>Sample critical secrets; verify no plaintext exposure, rotation, owner, expiry, and scoped permissions.</x:v>
      </x:c>
      <x:c r="H47" s="14" t="str">
        <x:v>PADK OJK 1/2026 Lampiran I Bab IV</x:v>
      </x:c>
      <x:c r="I47" s="14" t="str">
        <x:v>NIST CSF 2.0 PR.AA/PR.DS; ISO 27001:2022 8.24</x:v>
      </x:c>
      <x:c r="J47" s="14" t="str">
        <x:v>All Commercial Banks</x:v>
      </x:c>
      <x:c r="K47" s="14" t="str">
        <x:v>Critical</x:v>
      </x:c>
      <x:c r="L47" s="14" t="str">
        <x:v>Not Tested</x:v>
      </x:c>
      <x:c r="M47" s="14" t="str"/>
      <x:c r="N47" s="14" t="str"/>
    </x:row>
    <x:row r="48" ht="66" customHeight="1">
      <x:c r="A48" s="14" t="str">
        <x:v>PR-09</x:v>
      </x:c>
      <x:c r="B48" s="14" t="str">
        <x:v>PR</x:v>
      </x:c>
      <x:c r="C48" s="14" t="str">
        <x:v>Periodic Access Review</x:v>
      </x:c>
      <x:c r="D48" s="14" t="str">
        <x:v>Are user and privileged access rights recertified periodically by accountable business/system owners with effective removal of excess access?</x:v>
      </x:c>
      <x:c r="E48" s="14" t="str">
        <x:v>Apakah hak akses user dan privileged direview secara berkala oleh owner bisnis/sistem yang accountable dan kelebihan akses dicabut secara efektif?</x:v>
      </x:c>
      <x:c r="F48" s="14" t="str">
        <x:v>Access-review campaigns, reviewer attestations, removals, overdue items, SoD exceptions.</x:v>
      </x:c>
      <x:c r="G48" s="14" t="str">
        <x:v>Sample completed campaigns; validate reviewer independence and actual removal of rejected access.</x:v>
      </x:c>
      <x:c r="H48" s="14" t="str">
        <x:v>PADK OJK 1/2026 Lampiran I Bab IV</x:v>
      </x:c>
      <x:c r="I48" s="14" t="str">
        <x:v>NIST CSF 2.0 PR.AA; ISO 27001:2022 5.18</x:v>
      </x:c>
      <x:c r="J48" s="14" t="str">
        <x:v>All Commercial Banks</x:v>
      </x:c>
      <x:c r="K48" s="14" t="str">
        <x:v>High</x:v>
      </x:c>
      <x:c r="L48" s="14" t="str">
        <x:v>Not Tested</x:v>
      </x:c>
      <x:c r="M48" s="14" t="str"/>
      <x:c r="N48" s="14" t="str"/>
    </x:row>
    <x:row r="49" ht="66" customHeight="1">
      <x:c r="A49" s="14" t="str">
        <x:v>PR-10</x:v>
      </x:c>
      <x:c r="B49" s="14" t="str">
        <x:v>PR</x:v>
      </x:c>
      <x:c r="C49" s="14" t="str">
        <x:v>Network Segmentation</x:v>
      </x:c>
      <x:c r="D49" s="14" t="str">
        <x:v>Is network segmentation designed and enforced based on trust zones, criticality, data sensitivity, and attack-path reduction?</x:v>
      </x:c>
      <x:c r="E49" s="14" t="str">
        <x:v>Apakah segmentasi jaringan dirancang dan ditegakkan berdasarkan trust zone, kritikalitas, sensitivitas data, serta pengurangan attack path?</x:v>
      </x:c>
      <x:c r="F49" s="14" t="str">
        <x:v>Network diagrams, firewall rules, zone standards, segmentation test results, exceptions.</x:v>
      </x:c>
      <x:c r="G49" s="14" t="str">
        <x:v>Sample critical paths; validate intended deny/allow behavior and identify broad any-any or flat-network exposure.</x:v>
      </x:c>
      <x:c r="H49" s="14" t="str">
        <x:v>PADK OJK 1/2026 Lampiran I Bab IV; SEOJK 29/2022 IV.3</x:v>
      </x:c>
      <x:c r="I49" s="14" t="str">
        <x:v>NIST CSF 2.0 PR.PS; CIS v8.1 Controls 12-13</x:v>
      </x:c>
      <x:c r="J49" s="14" t="str">
        <x:v>All Commercial Banks</x:v>
      </x:c>
      <x:c r="K49" s="14" t="str">
        <x:v>Critical</x:v>
      </x:c>
      <x:c r="L49" s="14" t="str">
        <x:v>Not Tested</x:v>
      </x:c>
      <x:c r="M49" s="14" t="str"/>
      <x:c r="N49" s="14" t="str"/>
    </x:row>
    <x:row r="50" ht="66" customHeight="1">
      <x:c r="A50" s="14" t="str">
        <x:v>PR-11</x:v>
      </x:c>
      <x:c r="B50" s="14" t="str">
        <x:v>PR</x:v>
      </x:c>
      <x:c r="C50" s="14" t="str">
        <x:v>Internet Perimeter Security</x:v>
      </x:c>
      <x:c r="D50" s="14" t="str">
        <x:v>Are internet-facing services protected through hardened gateways, WAF/DDoS controls, secure DNS, certificate management, and restrictive ingress/egress rules?</x:v>
      </x:c>
      <x:c r="E50" s="14" t="str">
        <x:v>Apakah layanan internet-facing dilindungi melalui gateway yang di-hardening, WAF/DDoS, DNS aman, manajemen sertifikat, serta aturan ingress/egress yang restriktif?</x:v>
      </x:c>
      <x:c r="F50" s="14" t="str">
        <x:v>Perimeter architecture, WAF/DDoS configs, firewall rules, DNS security, TLS/certificate inventory.</x:v>
      </x:c>
      <x:c r="G50" s="14" t="str">
        <x:v>Sample internet services; inspect TLS, WAF policies, exposed ports, egress controls and DDoS runbooks.</x:v>
      </x:c>
      <x:c r="H50" s="14" t="str">
        <x:v>PADK OJK 1/2026 Lampiran I Bab IV; SEOJK 29/2022 IV</x:v>
      </x:c>
      <x:c r="I50" s="14" t="str">
        <x:v>NIST CSF 2.0 PR.PS/PR.IR; CIS v8.1 Controls 12-13</x:v>
      </x:c>
      <x:c r="J50" s="14" t="str">
        <x:v>All Commercial Banks</x:v>
      </x:c>
      <x:c r="K50" s="14" t="str">
        <x:v>Critical</x:v>
      </x:c>
      <x:c r="L50" s="14" t="str">
        <x:v>Not Tested</x:v>
      </x:c>
      <x:c r="M50" s="14" t="str"/>
      <x:c r="N50" s="14" t="str"/>
    </x:row>
    <x:row r="51" ht="66" customHeight="1">
      <x:c r="A51" s="14" t="str">
        <x:v>PR-12</x:v>
      </x:c>
      <x:c r="B51" s="14" t="str">
        <x:v>PR</x:v>
      </x:c>
      <x:c r="C51" s="14" t="str">
        <x:v>Remote Access</x:v>
      </x:c>
      <x:c r="D51" s="14" t="str">
        <x:v>Is remote administrative and workforce access securely brokered, strongly authenticated, encrypted, logged, and limited by device/risk posture?</x:v>
      </x:c>
      <x:c r="E51" s="14" t="str">
        <x:v>Apakah akses remote administratif dan karyawan dibroker secara aman, menggunakan autentikasi kuat, terenkripsi, tercatat, dan dibatasi berdasarkan posture perangkat/risiko?</x:v>
      </x:c>
      <x:c r="F51" s="14" t="str">
        <x:v>VPN/ZTNA configuration, MFA, device compliance policy, privileged remote path, logs.</x:v>
      </x:c>
      <x:c r="G51" s="14" t="str">
        <x:v>Sample remote access paths; verify MFA/device posture, split-tunnel policy, admin restrictions and logging.</x:v>
      </x:c>
      <x:c r="H51" s="14" t="str">
        <x:v>PADK OJK 1/2026 Lampiran I Bab IV</x:v>
      </x:c>
      <x:c r="I51" s="14" t="str">
        <x:v>NIST CSF 2.0 PR.AA/PR.PS; CIS v8.1 Controls 6/12</x:v>
      </x:c>
      <x:c r="J51" s="14" t="str">
        <x:v>All Commercial Banks</x:v>
      </x:c>
      <x:c r="K51" s="14" t="str">
        <x:v>Critical</x:v>
      </x:c>
      <x:c r="L51" s="14" t="str">
        <x:v>Not Tested</x:v>
      </x:c>
      <x:c r="M51" s="14" t="str"/>
      <x:c r="N51" s="14" t="str"/>
    </x:row>
    <x:row r="52" ht="66" customHeight="1">
      <x:c r="A52" s="14" t="str">
        <x:v>PR-13</x:v>
      </x:c>
      <x:c r="B52" s="14" t="str">
        <x:v>PR</x:v>
      </x:c>
      <x:c r="C52" s="14" t="str">
        <x:v>Endpoint Security</x:v>
      </x:c>
      <x:c r="D52" s="14" t="str">
        <x:v>Are endpoints centrally hardened, encrypted, managed, and protected by current EDR/anti-malware controls?</x:v>
      </x:c>
      <x:c r="E52" s="14" t="str">
        <x:v>Apakah endpoint di-hardening, dienkripsi, dikelola secara terpusat, dan dilindungi EDR/anti-malware yang mutakhir?</x:v>
      </x:c>
      <x:c r="F52" s="14" t="str">
        <x:v>Endpoint baseline, MDM/UEM, disk encryption, EDR coverage, policy exceptions.</x:v>
      </x:c>
      <x:c r="G52" s="14" t="str">
        <x:v>Reconcile endpoint inventory to EDR/UEM/encryption coverage; sample policy health and stale/offline agents.</x:v>
      </x:c>
      <x:c r="H52" s="14" t="str">
        <x:v>PADK OJK 1/2026 Lampiran I Bab IV; SEOJK 29/2022 IV.3</x:v>
      </x:c>
      <x:c r="I52" s="14" t="str">
        <x:v>NIST CSF 2.0 PR.PS; CIS v8.1 Controls 4/10</x:v>
      </x:c>
      <x:c r="J52" s="14" t="str">
        <x:v>All Commercial Banks</x:v>
      </x:c>
      <x:c r="K52" s="14" t="str">
        <x:v>High</x:v>
      </x:c>
      <x:c r="L52" s="14" t="str">
        <x:v>Not Tested</x:v>
      </x:c>
      <x:c r="M52" s="14" t="str"/>
      <x:c r="N52" s="14" t="str"/>
    </x:row>
    <x:row r="53" ht="66" customHeight="1">
      <x:c r="A53" s="14" t="str">
        <x:v>PR-14</x:v>
      </x:c>
      <x:c r="B53" s="14" t="str">
        <x:v>PR</x:v>
      </x:c>
      <x:c r="C53" s="14" t="str">
        <x:v>Server &amp; Database Hardening</x:v>
      </x:c>
      <x:c r="D53" s="14" t="str">
        <x:v>Are servers, operating systems, middleware, and databases built and maintained against approved secure configuration baselines?</x:v>
      </x:c>
      <x:c r="E53" s="14" t="str">
        <x:v>Apakah server, OS, middleware, dan database dibangun serta dipelihara sesuai secure configuration baseline yang disetujui?</x:v>
      </x:c>
      <x:c r="F53" s="14" t="str">
        <x:v>Hardening standards, configuration scans, database security baseline, exceptions and approvals.</x:v>
      </x:c>
      <x:c r="G53" s="14" t="str">
        <x:v>Sample critical servers/databases; compare actual settings to baseline; inspect deviations and remediation.</x:v>
      </x:c>
      <x:c r="H53" s="14" t="str">
        <x:v>PADK OJK 1/2026 Lampiran I Bab IV</x:v>
      </x:c>
      <x:c r="I53" s="14" t="str">
        <x:v>NIST CSF 2.0 PR.PS; CIS v8.1 Control 4</x:v>
      </x:c>
      <x:c r="J53" s="14" t="str">
        <x:v>All Commercial Banks</x:v>
      </x:c>
      <x:c r="K53" s="14" t="str">
        <x:v>High</x:v>
      </x:c>
      <x:c r="L53" s="14" t="str">
        <x:v>Not Tested</x:v>
      </x:c>
      <x:c r="M53" s="14" t="str"/>
      <x:c r="N53" s="14" t="str"/>
    </x:row>
    <x:row r="54" ht="66" customHeight="1">
      <x:c r="A54" s="14" t="str">
        <x:v>PR-15</x:v>
      </x:c>
      <x:c r="B54" s="14" t="str">
        <x:v>PR</x:v>
      </x:c>
      <x:c r="C54" s="14" t="str">
        <x:v>Network &amp; Security Device Hardening</x:v>
      </x:c>
      <x:c r="D54" s="14" t="str">
        <x:v>Are routers, switches, firewalls, load balancers, wireless, and security appliances hardened and securely administered?</x:v>
      </x:c>
      <x:c r="E54" s="14" t="str">
        <x:v>Apakah router, switch, firewall, load balancer, wireless, dan security appliance di-hardening serta dikelola secara aman?</x:v>
      </x:c>
      <x:c r="F54" s="14" t="str">
        <x:v>Device baselines, AAA/TACACS/RADIUS, management-plane ACLs, configuration backups, compliance scans.</x:v>
      </x:c>
      <x:c r="G54" s="14" t="str">
        <x:v>Sample devices; verify centralized admin, secure protocols, management isolation, logging and baseline compliance.</x:v>
      </x:c>
      <x:c r="H54" s="14" t="str">
        <x:v>PADK OJK 1/2026 Lampiran I Bab IV</x:v>
      </x:c>
      <x:c r="I54" s="14" t="str">
        <x:v>NIST CSF 2.0 PR.PS; CIS v8.1 Controls 4/12</x:v>
      </x:c>
      <x:c r="J54" s="14" t="str">
        <x:v>All Commercial Banks</x:v>
      </x:c>
      <x:c r="K54" s="14" t="str">
        <x:v>High</x:v>
      </x:c>
      <x:c r="L54" s="14" t="str">
        <x:v>Not Tested</x:v>
      </x:c>
      <x:c r="M54" s="14" t="str"/>
      <x:c r="N54" s="14" t="str"/>
    </x:row>
    <x:row r="55" ht="66" customHeight="1">
      <x:c r="A55" s="14" t="str">
        <x:v>PR-16</x:v>
      </x:c>
      <x:c r="B55" s="14" t="str">
        <x:v>PR</x:v>
      </x:c>
      <x:c r="C55" s="14" t="str">
        <x:v>Change Management</x:v>
      </x:c>
      <x:c r="D55" s="14" t="str">
        <x:v>Are production changes risk-assessed, approved, tested, segregated, reversible, and subject to emergency-change governance?</x:v>
      </x:c>
      <x:c r="E55" s="14" t="str">
        <x:v>Apakah perubahan produksi dinilai risikonya, disetujui, diuji, dipisahkan kewenangannya, dapat di-rollback, dan emergency change dikelola secara memadai?</x:v>
      </x:c>
      <x:c r="F55" s="14" t="str">
        <x:v>Change tickets, approvals, test evidence, backout plans, emergency-change logs, PIRs.</x:v>
      </x:c>
      <x:c r="G55" s="14" t="str">
        <x:v>Sample normal/emergency/high-risk changes; verify evidence before implementation and post-implementation review.</x:v>
      </x:c>
      <x:c r="H55" s="14" t="str">
        <x:v>PADK OJK 1/2026 Lampiran I Bab IV</x:v>
      </x:c>
      <x:c r="I55" s="14" t="str">
        <x:v>NIST CSF 2.0 PR.PS; ISO 27001:2022 8.32</x:v>
      </x:c>
      <x:c r="J55" s="14" t="str">
        <x:v>All Commercial Banks</x:v>
      </x:c>
      <x:c r="K55" s="14" t="str">
        <x:v>High</x:v>
      </x:c>
      <x:c r="L55" s="14" t="str">
        <x:v>Not Tested</x:v>
      </x:c>
      <x:c r="M55" s="14" t="str"/>
      <x:c r="N55" s="14" t="str"/>
    </x:row>
    <x:row r="56" ht="66" customHeight="1">
      <x:c r="A56" s="14" t="str">
        <x:v>PR-17</x:v>
      </x:c>
      <x:c r="B56" s="14" t="str">
        <x:v>PR</x:v>
      </x:c>
      <x:c r="C56" s="14" t="str">
        <x:v>Patch Management</x:v>
      </x:c>
      <x:c r="D56" s="14" t="str">
        <x:v>Does patch management maintain complete installation records, use tested software versions, and track current security fixes, upgrades, and compatibility issues?</x:v>
      </x:c>
      <x:c r="E56" s="14" t="str">
        <x:v>Apakah patch management memiliki dokumentasi instalasi yang lengkap, menggunakan versi perangkat lunak yang telah diuji, serta memantau security fix, upgrade, dan isu kompatibilitas terkini?</x:v>
      </x:c>
      <x:c r="F56" s="14" t="str">
        <x:v>Patch policy, asset coverage, patch inventory, test records, deployment logs, exceptions, vendor advisories.</x:v>
      </x:c>
      <x:c r="G56" s="14" t="str">
        <x:v>Reconcile critical assets to patch status; sample critical patches from advisory to testing/deployment; inspect exceptions and compensating controls.</x:v>
      </x:c>
      <x:c r="H56" s="14" t="str">
        <x:v>PADK OJK 1/2026 Lampiran I Bab IV – Patch Management; SEOJK 29/2022 IV.3</x:v>
      </x:c>
      <x:c r="I56" s="14" t="str">
        <x:v>NIST CSF 2.0 PR.PS; CIS v8.1 Control 7</x:v>
      </x:c>
      <x:c r="J56" s="14" t="str">
        <x:v>All Commercial Banks</x:v>
      </x:c>
      <x:c r="K56" s="14" t="str">
        <x:v>Critical</x:v>
      </x:c>
      <x:c r="L56" s="14" t="str">
        <x:v>Not Tested</x:v>
      </x:c>
      <x:c r="M56" s="14" t="str"/>
      <x:c r="N56" s="14" t="str"/>
    </x:row>
    <x:row r="57" ht="66" customHeight="1">
      <x:c r="A57" s="14" t="str">
        <x:v>PR-18</x:v>
      </x:c>
      <x:c r="B57" s="14" t="str">
        <x:v>PR</x:v>
      </x:c>
      <x:c r="C57" s="14" t="str">
        <x:v>Vulnerability Remediation</x:v>
      </x:c>
      <x:c r="D57" s="14" t="str">
        <x:v>Are vulnerability remediation SLAs risk-based and adjusted for exploitability, internet exposure, asset criticality, and active exploitation?</x:v>
      </x:c>
      <x:c r="E57" s="14" t="str">
        <x:v>Apakah SLA remediasi kerentanan berbasis risiko dan mempertimbangkan exploitability, internet exposure, kritikalitas aset, serta active exploitation?</x:v>
      </x:c>
      <x:c r="F57" s="14" t="str">
        <x:v>Vulnerability policy/SLA, risk scoring, aging reports, exception approvals, remediation evidence.</x:v>
      </x:c>
      <x:c r="G57" s="14" t="str">
        <x:v>Sample critical/high findings including overdue items; validate closure and retest; assess systemic aging trends.</x:v>
      </x:c>
      <x:c r="H57" s="14" t="str">
        <x:v>SEOJK 29/2022 IV.2-3; PADK OJK 1/2026 Lampiran I Bab IV</x:v>
      </x:c>
      <x:c r="I57" s="14" t="str">
        <x:v>NIST CSF 2.0 ID.RA/PR.PS; CIS v8.1 Control 7</x:v>
      </x:c>
      <x:c r="J57" s="14" t="str">
        <x:v>All Commercial Banks</x:v>
      </x:c>
      <x:c r="K57" s="14" t="str">
        <x:v>Critical</x:v>
      </x:c>
      <x:c r="L57" s="14" t="str">
        <x:v>Not Tested</x:v>
      </x:c>
      <x:c r="M57" s="14" t="str"/>
      <x:c r="N57" s="14" t="str"/>
    </x:row>
    <x:row r="58" ht="66" customHeight="1">
      <x:c r="A58" s="14" t="str">
        <x:v>PR-19</x:v>
      </x:c>
      <x:c r="B58" s="14" t="str">
        <x:v>PR</x:v>
      </x:c>
      <x:c r="C58" s="14" t="str">
        <x:v>Encryption at Rest</x:v>
      </x:c>
      <x:c r="D58" s="14" t="str">
        <x:v>Is sensitive and regulated data encrypted at rest using approved cryptography and controlled key management?</x:v>
      </x:c>
      <x:c r="E58" s="14" t="str">
        <x:v>Apakah data sensitif dan data yang diatur dienkripsi saat tersimpan menggunakan kriptografi yang disetujui serta key management yang terkendali?</x:v>
      </x:c>
      <x:c r="F58" s="14" t="str">
        <x:v>Encryption standard, database/storage/cloud settings, key ownership, exception register.</x:v>
      </x:c>
      <x:c r="G58" s="14" t="str">
        <x:v>Sample sensitive datasets/storage; verify effective encryption, algorithm strength and key separation.</x:v>
      </x:c>
      <x:c r="H58" s="14" t="str">
        <x:v>PADK OJK 1/2026 Lampiran I Bab IV/VII; SEOJK 29/2022 IV.3</x:v>
      </x:c>
      <x:c r="I58" s="14" t="str">
        <x:v>NIST CSF 2.0 PR.DS; ISO 27001:2022 8.24</x:v>
      </x:c>
      <x:c r="J58" s="14" t="str">
        <x:v>All Commercial Banks</x:v>
      </x:c>
      <x:c r="K58" s="14" t="str">
        <x:v>Critical</x:v>
      </x:c>
      <x:c r="L58" s="14" t="str">
        <x:v>Not Tested</x:v>
      </x:c>
      <x:c r="M58" s="14" t="str"/>
      <x:c r="N58" s="14" t="str"/>
    </x:row>
    <x:row r="59" ht="66" customHeight="1">
      <x:c r="A59" s="14" t="str">
        <x:v>PR-20</x:v>
      </x:c>
      <x:c r="B59" s="14" t="str">
        <x:v>PR</x:v>
      </x:c>
      <x:c r="C59" s="14" t="str">
        <x:v>Encryption in Transit</x:v>
      </x:c>
      <x:c r="D59" s="14" t="str">
        <x:v>Are sensitive data and administrative connections encrypted in transit with current protocols and certificate lifecycle controls?</x:v>
      </x:c>
      <x:c r="E59" s="14" t="str">
        <x:v>Apakah data sensitif dan koneksi administratif dienkripsi saat transit dengan protokol mutakhir dan kontrol lifecycle sertifikat?</x:v>
      </x:c>
      <x:c r="F59" s="14" t="str">
        <x:v>TLS standards, certificates, network scans, API/channel configs, key/certificate expiry monitoring.</x:v>
      </x:c>
      <x:c r="G59" s="14" t="str">
        <x:v>Sample internal/external critical connections; test protocol/cipher strength and certificate validity.</x:v>
      </x:c>
      <x:c r="H59" s="14" t="str">
        <x:v>PADK OJK 1/2026 Lampiran I Bab IV/VII</x:v>
      </x:c>
      <x:c r="I59" s="14" t="str">
        <x:v>NIST CSF 2.0 PR.DS; ISO 27001:2022 8.24</x:v>
      </x:c>
      <x:c r="J59" s="14" t="str">
        <x:v>All Commercial Banks</x:v>
      </x:c>
      <x:c r="K59" s="14" t="str">
        <x:v>Critical</x:v>
      </x:c>
      <x:c r="L59" s="14" t="str">
        <x:v>Not Tested</x:v>
      </x:c>
      <x:c r="M59" s="14" t="str"/>
      <x:c r="N59" s="14" t="str"/>
    </x:row>
    <x:row r="60" ht="66" customHeight="1">
      <x:c r="A60" s="14" t="str">
        <x:v>PR-21</x:v>
      </x:c>
      <x:c r="B60" s="14" t="str">
        <x:v>PR</x:v>
      </x:c>
      <x:c r="C60" s="14" t="str">
        <x:v>Cryptographic Key Management</x:v>
      </x:c>
      <x:c r="D60" s="14" t="str">
        <x:v>Are cryptographic keys generated, stored, rotated, revoked, backed up, and destroyed under controlled lifecycle and dual control where appropriate?</x:v>
      </x:c>
      <x:c r="E60" s="14" t="str">
        <x:v>Apakah key kriptografi dibuat, disimpan, dirotasi, dicabut, dibackup, dan dimusnahkan melalui lifecycle yang terkendali serta dual control bila sesuai?</x:v>
      </x:c>
      <x:c r="F60" s="14" t="str">
        <x:v>Key-management policy, HSM/KMS configuration, ceremonies, rotation logs, access records.</x:v>
      </x:c>
      <x:c r="G60" s="14" t="str">
        <x:v>Sample production keys/certificates; trace lifecycle and privileged access; verify separation and recovery.</x:v>
      </x:c>
      <x:c r="H60" s="14" t="str">
        <x:v>PADK OJK 1/2026 Lampiran I Bab IV/VII</x:v>
      </x:c>
      <x:c r="I60" s="14" t="str">
        <x:v>NIST CSF 2.0 PR.DS/PR.AA; ISO 27001:2022 8.24</x:v>
      </x:c>
      <x:c r="J60" s="14" t="str">
        <x:v>All Commercial Banks</x:v>
      </x:c>
      <x:c r="K60" s="14" t="str">
        <x:v>Critical</x:v>
      </x:c>
      <x:c r="L60" s="14" t="str">
        <x:v>Not Tested</x:v>
      </x:c>
      <x:c r="M60" s="14" t="str"/>
      <x:c r="N60" s="14" t="str"/>
    </x:row>
    <x:row r="61" ht="66" customHeight="1">
      <x:c r="A61" s="14" t="str">
        <x:v>PR-22</x:v>
      </x:c>
      <x:c r="B61" s="14" t="str">
        <x:v>PR</x:v>
      </x:c>
      <x:c r="C61" s="14" t="str">
        <x:v>Data Loss Prevention</x:v>
      </x:c>
      <x:c r="D61" s="14" t="str">
        <x:v>Are DLP controls risk-based across endpoint, email, web, cloud, removable media, and data-transfer channels?</x:v>
      </x:c>
      <x:c r="E61" s="14" t="str">
        <x:v>Apakah kontrol DLP berbasis risiko diterapkan pada endpoint, email, web, cloud, removable media, dan kanal transfer data?</x:v>
      </x:c>
      <x:c r="F61" s="14" t="str">
        <x:v>DLP policy/rules, sensitive-data labels, incidents, tuning records, exceptions.</x:v>
      </x:c>
      <x:c r="G61" s="14" t="str">
        <x:v>Sample high-risk data types/channels; test rule coverage and inspect false positives, bypasses and response workflow.</x:v>
      </x:c>
      <x:c r="H61" s="14" t="str">
        <x:v>PADK OJK 1/2026 Lampiran I Bab VII; SEOJK 29/2022 IV.3</x:v>
      </x:c>
      <x:c r="I61" s="14" t="str">
        <x:v>NIST CSF 2.0 PR.DS/DE.CM; CIS v8.1 Control 3</x:v>
      </x:c>
      <x:c r="J61" s="14" t="str">
        <x:v>All Commercial Banks</x:v>
      </x:c>
      <x:c r="K61" s="14" t="str">
        <x:v>High</x:v>
      </x:c>
      <x:c r="L61" s="14" t="str">
        <x:v>Not Tested</x:v>
      </x:c>
      <x:c r="M61" s="14" t="str"/>
      <x:c r="N61" s="14" t="str"/>
    </x:row>
    <x:row r="62" ht="66" customHeight="1">
      <x:c r="A62" s="14" t="str">
        <x:v>PR-23</x:v>
      </x:c>
      <x:c r="B62" s="14" t="str">
        <x:v>PR</x:v>
      </x:c>
      <x:c r="C62" s="14" t="str">
        <x:v>Backup Protection</x:v>
      </x:c>
      <x:c r="D62" s="14" t="str">
        <x:v>Are backups protected from ransomware through separation, immutability/offline copies, strong access controls, and monitored integrity?</x:v>
      </x:c>
      <x:c r="E62" s="14" t="str">
        <x:v>Apakah backup dilindungi dari ransomware melalui segregasi, immutable/offline copy, kontrol akses kuat, dan monitoring integritas?</x:v>
      </x:c>
      <x:c r="F62" s="14" t="str">
        <x:v>Backup architecture, immutable settings, media/offline controls, access list, backup alerts.</x:v>
      </x:c>
      <x:c r="G62" s="14" t="str">
        <x:v>Inspect critical backup paths; verify ransomware cannot readily alter/delete primary and recovery copies; sample access.</x:v>
      </x:c>
      <x:c r="H62" s="14" t="str">
        <x:v>PADK OJK 1/2026 Lampiran I Bab IV; SEOJK 29/2022 IV</x:v>
      </x:c>
      <x:c r="I62" s="14" t="str">
        <x:v>NIST CSF 2.0 PR.IR/PR.DS; CIS v8.1 Control 11</x:v>
      </x:c>
      <x:c r="J62" s="14" t="str">
        <x:v>All Commercial Banks</x:v>
      </x:c>
      <x:c r="K62" s="14" t="str">
        <x:v>Critical</x:v>
      </x:c>
      <x:c r="L62" s="14" t="str">
        <x:v>Not Tested</x:v>
      </x:c>
      <x:c r="M62" s="14" t="str"/>
      <x:c r="N62" s="14" t="str"/>
    </x:row>
    <x:row r="63" ht="66" customHeight="1">
      <x:c r="A63" s="14" t="str">
        <x:v>PR-24</x:v>
      </x:c>
      <x:c r="B63" s="14" t="str">
        <x:v>PR</x:v>
      </x:c>
      <x:c r="C63" s="14" t="str">
        <x:v>Email &amp; Web Protection</x:v>
      </x:c>
      <x:c r="D63" s="14" t="str">
        <x:v>Are email and web channels protected against phishing, malicious content, spoofing, and unsafe destinations?</x:v>
      </x:c>
      <x:c r="E63" s="14" t="str">
        <x:v>Apakah kanal email dan web dilindungi dari phishing, konten berbahaya, spoofing, dan tujuan yang tidak aman?</x:v>
      </x:c>
      <x:c r="F63" s="14" t="str">
        <x:v>Secure email gateway, SPF/DKIM/DMARC, URL filtering, sandboxing, browser policies.</x:v>
      </x:c>
      <x:c r="G63" s="14" t="str">
        <x:v>Inspect configurations and recent detections; sample spoof/phishing controls and exception handling.</x:v>
      </x:c>
      <x:c r="H63" s="14" t="str">
        <x:v>PADK OJK 1/2026 Lampiran I Bab IV; SEOJK 29/2022 IV</x:v>
      </x:c>
      <x:c r="I63" s="14" t="str">
        <x:v>NIST CSF 2.0 PR.PS; CIS v8.1 Controls 9-10</x:v>
      </x:c>
      <x:c r="J63" s="14" t="str">
        <x:v>All Commercial Banks</x:v>
      </x:c>
      <x:c r="K63" s="14" t="str">
        <x:v>High</x:v>
      </x:c>
      <x:c r="L63" s="14" t="str">
        <x:v>Not Tested</x:v>
      </x:c>
      <x:c r="M63" s="14" t="str"/>
      <x:c r="N63" s="14" t="str"/>
    </x:row>
    <x:row r="64" ht="66" customHeight="1">
      <x:c r="A64" s="14" t="str">
        <x:v>PR-25</x:v>
      </x:c>
      <x:c r="B64" s="14" t="str">
        <x:v>PR</x:v>
      </x:c>
      <x:c r="C64" s="14" t="str">
        <x:v>Malware Prevention</x:v>
      </x:c>
      <x:c r="D64" s="14" t="str">
        <x:v>Are preventive controls against malware/ransomware layered across endpoint, server, email, web, network, and application execution?</x:v>
      </x:c>
      <x:c r="E64" s="14" t="str">
        <x:v>Apakah kontrol preventif malware/ransomware berlapis diterapkan pada endpoint, server, email, web, jaringan, dan eksekusi aplikasi?</x:v>
      </x:c>
      <x:c r="F64" s="14" t="str">
        <x:v>EDR/AV policies, application control, macro/script policies, sandboxing, threat-prevention configs.</x:v>
      </x:c>
      <x:c r="G64" s="14" t="str">
        <x:v>Sample control coverage and recent malware events; verify prevention policies cannot be routinely disabled by users.</x:v>
      </x:c>
      <x:c r="H64" s="14" t="str">
        <x:v>PADK OJK 1/2026 Lampiran I Bab IV; SEOJK 29/2022 IV</x:v>
      </x:c>
      <x:c r="I64" s="14" t="str">
        <x:v>NIST CSF 2.0 PR.PS; CIS v8.1 Control 10</x:v>
      </x:c>
      <x:c r="J64" s="14" t="str">
        <x:v>All Commercial Banks</x:v>
      </x:c>
      <x:c r="K64" s="14" t="str">
        <x:v>Critical</x:v>
      </x:c>
      <x:c r="L64" s="14" t="str">
        <x:v>Not Tested</x:v>
      </x:c>
      <x:c r="M64" s="14" t="str"/>
      <x:c r="N64" s="14" t="str"/>
    </x:row>
    <x:row r="65" ht="66" customHeight="1">
      <x:c r="A65" s="14" t="str">
        <x:v>PR-26</x:v>
      </x:c>
      <x:c r="B65" s="14" t="str">
        <x:v>PR</x:v>
      </x:c>
      <x:c r="C65" s="14" t="str">
        <x:v>Secure SDLC</x:v>
      </x:c>
      <x:c r="D65" s="14" t="str">
        <x:v>Is security integrated into SDLC from requirements and design through build, test, release, and maintenance?</x:v>
      </x:c>
      <x:c r="E65" s="14" t="str">
        <x:v>Apakah keamanan terintegrasi dalam SDLC mulai dari requirement dan desain hingga build, testing, release, dan maintenance?</x:v>
      </x:c>
      <x:c r="F65" s="14" t="str">
        <x:v>SSDLC standard, security gates, threat models, code review, release evidence, security sign-off.</x:v>
      </x:c>
      <x:c r="G65" s="14" t="str">
        <x:v>Sample recent critical releases; trace mandatory security gates and exceptions from design to production.</x:v>
      </x:c>
      <x:c r="H65" s="14" t="str">
        <x:v>PADK OJK 1/2026 Lampiran I Bab III/IV; SEOJK 29/2022 IV.3</x:v>
      </x:c>
      <x:c r="I65" s="14" t="str">
        <x:v>NIST CSF 2.0 PR.PS; ISO 27001:2022 8.25-8.31</x:v>
      </x:c>
      <x:c r="J65" s="14" t="str">
        <x:v>All Commercial Banks</x:v>
      </x:c>
      <x:c r="K65" s="14" t="str">
        <x:v>High</x:v>
      </x:c>
      <x:c r="L65" s="14" t="str">
        <x:v>Not Tested</x:v>
      </x:c>
      <x:c r="M65" s="14" t="str"/>
      <x:c r="N65" s="14" t="str"/>
    </x:row>
    <x:row r="66" ht="66" customHeight="1">
      <x:c r="A66" s="14" t="str">
        <x:v>PR-27</x:v>
      </x:c>
      <x:c r="B66" s="14" t="str">
        <x:v>PR</x:v>
      </x:c>
      <x:c r="C66" s="14" t="str">
        <x:v>Application Security Testing</x:v>
      </x:c>
      <x:c r="D66" s="14" t="str">
        <x:v>Are SAST, DAST, SCA, penetration testing, and manual security review applied according to application risk before release and periodically thereafter?</x:v>
      </x:c>
      <x:c r="E66" s="14" t="str">
        <x:v>Apakah SAST, DAST, SCA, penetration testing, dan manual security review diterapkan sesuai risiko aplikasi sebelum release dan secara berkala setelahnya?</x:v>
      </x:c>
      <x:c r="F66" s="14" t="str">
        <x:v>Pipeline scan results, pen-test reports, SCA/SBOM, remediation tickets, security waivers.</x:v>
      </x:c>
      <x:c r="G66" s="14" t="str">
        <x:v>Sample critical applications/releases; verify findings block or govern release and critical defects are retested.</x:v>
      </x:c>
      <x:c r="H66" s="14" t="str">
        <x:v>SEOJK 29/2022 VII; PADK OJK 1/2026 Lampiran I Bab IV</x:v>
      </x:c>
      <x:c r="I66" s="14" t="str">
        <x:v>NIST CSF 2.0 PR.PS/ID.RA; CIS v8.1 Control 16</x:v>
      </x:c>
      <x:c r="J66" s="14" t="str">
        <x:v>All Commercial Banks</x:v>
      </x:c>
      <x:c r="K66" s="14" t="str">
        <x:v>Critical</x:v>
      </x:c>
      <x:c r="L66" s="14" t="str">
        <x:v>Not Tested</x:v>
      </x:c>
      <x:c r="M66" s="14" t="str"/>
      <x:c r="N66" s="14" t="str"/>
    </x:row>
    <x:row r="67" ht="66" customHeight="1">
      <x:c r="A67" s="14" t="str">
        <x:v>PR-28</x:v>
      </x:c>
      <x:c r="B67" s="14" t="str">
        <x:v>PR</x:v>
      </x:c>
      <x:c r="C67" s="14" t="str">
        <x:v>Software Supply Chain</x:v>
      </x:c>
      <x:c r="D67" s="14" t="str">
        <x:v>Are third-party libraries, packages, CI/CD dependencies, build systems, and artifacts governed against software supply-chain compromise?</x:v>
      </x:c>
      <x:c r="E67" s="14" t="str">
        <x:v>Apakah library pihak ketiga, package, dependency CI/CD, build system, dan artifact dikelola untuk mencegah kompromi software supply chain?</x:v>
      </x:c>
      <x:c r="F67" s="14" t="str">
        <x:v>SBOM/SCA, dependency policy, signed artifacts, repository controls, CI/CD admin access, provenance.</x:v>
      </x:c>
      <x:c r="G67" s="14" t="str">
        <x:v>Sample critical builds; trace dependencies to approved sources, vulnerability checks and artifact integrity controls.</x:v>
      </x:c>
      <x:c r="H67" s="14" t="str">
        <x:v>PADK OJK 1/2026 Lampiran I Bab IV/V; SEOJK 29/2022 IV</x:v>
      </x:c>
      <x:c r="I67" s="14" t="str">
        <x:v>NIST CSF 2.0 GV.SC/PR.PS; NIST SP 800-161; CIS v8.1 Control 16</x:v>
      </x:c>
      <x:c r="J67" s="14" t="str">
        <x:v>All Commercial Banks</x:v>
      </x:c>
      <x:c r="K67" s="14" t="str">
        <x:v>High</x:v>
      </x:c>
      <x:c r="L67" s="14" t="str">
        <x:v>Not Tested</x:v>
      </x:c>
      <x:c r="M67" s="14" t="str"/>
      <x:c r="N67" s="14" t="str"/>
    </x:row>
    <x:row r="68" ht="66" customHeight="1">
      <x:c r="A68" s="14" t="str">
        <x:v>PR-29</x:v>
      </x:c>
      <x:c r="B68" s="14" t="str">
        <x:v>PR</x:v>
      </x:c>
      <x:c r="C68" s="14" t="str">
        <x:v>API Runtime Security</x:v>
      </x:c>
      <x:c r="D68" s="14" t="str">
        <x:v>Are APIs protected with strong authentication/authorization, schema validation, rate limiting, abuse prevention, gateway controls, and secure error handling?</x:v>
      </x:c>
      <x:c r="E68" s="14" t="str">
        <x:v>Apakah API dilindungi dengan autentikasi/otorisasi kuat, schema validation, rate limiting, abuse prevention, gateway control, dan secure error handling?</x:v>
      </x:c>
      <x:c r="F68" s="14" t="str">
        <x:v>API gateway policies, OAuth/OIDC/mTLS config, schemas, rate limits, WAF/API security rules.</x:v>
      </x:c>
      <x:c r="G68" s="14" t="str">
        <x:v>Sample critical APIs; test authorization boundaries, input validation, throttling, token scope and exposed errors.</x:v>
      </x:c>
      <x:c r="H68" s="14" t="str">
        <x:v>PADK OJK 1/2026 Lampiran I Bab IV; POJK 21/2023 where applicable</x:v>
      </x:c>
      <x:c r="I68" s="14" t="str">
        <x:v>NIST CSF 2.0 PR.AA/PR.PS; NIST SP 800-228 Update 1</x:v>
      </x:c>
      <x:c r="J68" s="14" t="str">
        <x:v>All Commercial Banks</x:v>
      </x:c>
      <x:c r="K68" s="14" t="str">
        <x:v>Critical</x:v>
      </x:c>
      <x:c r="L68" s="14" t="str">
        <x:v>Not Tested</x:v>
      </x:c>
      <x:c r="M68" s="14" t="str"/>
      <x:c r="N68" s="14" t="str"/>
    </x:row>
    <x:row r="69" ht="66" customHeight="1">
      <x:c r="A69" s="14" t="str">
        <x:v>PR-30</x:v>
      </x:c>
      <x:c r="B69" s="14" t="str">
        <x:v>PR</x:v>
      </x:c>
      <x:c r="C69" s="14" t="str">
        <x:v>API Lifecycle Protection</x:v>
      </x:c>
      <x:c r="D69" s="14" t="str">
        <x:v>Does API security cover pre-runtime and runtime controls across design, development, deployment, versioning, deprecation, and retirement?</x:v>
      </x:c>
      <x:c r="E69" s="14" t="str">
        <x:v>Apakah keamanan API mencakup kontrol pre-runtime dan runtime sepanjang desain, pengembangan, deployment, versioning, deprecation, dan retirement?</x:v>
      </x:c>
      <x:c r="F69" s="14" t="str">
        <x:v>API lifecycle standard, security gates, version inventory, retirement evidence, risk/control mapping.</x:v>
      </x:c>
      <x:c r="G69" s="14" t="str">
        <x:v>Sample new and deprecated APIs; verify lifecycle-stage controls and removal of unused endpoints/credentials.</x:v>
      </x:c>
      <x:c r="H69" s="14" t="str">
        <x:v>PADK OJK 1/2026 Lampiran I Bab III/IV</x:v>
      </x:c>
      <x:c r="I69" s="14" t="str">
        <x:v>NIST CSF 2.0 PR.PS/ID.AM; NIST SP 800-228 Update 1 (Appendices D-E)</x:v>
      </x:c>
      <x:c r="J69" s="14" t="str">
        <x:v>All Commercial Banks</x:v>
      </x:c>
      <x:c r="K69" s="14" t="str">
        <x:v>High</x:v>
      </x:c>
      <x:c r="L69" s="14" t="str">
        <x:v>Not Tested</x:v>
      </x:c>
      <x:c r="M69" s="14" t="str"/>
      <x:c r="N69" s="14" t="str"/>
    </x:row>
    <x:row r="70" ht="66" customHeight="1">
      <x:c r="A70" s="14" t="str">
        <x:v>PR-31</x:v>
      </x:c>
      <x:c r="B70" s="14" t="str">
        <x:v>PR</x:v>
      </x:c>
      <x:c r="C70" s="14" t="str">
        <x:v>Cloud Security Baseline</x:v>
      </x:c>
      <x:c r="D70" s="14" t="str">
        <x:v>Are cloud environments deployed through approved secure landing zones with identity, network, encryption, logging, and configuration guardrails?</x:v>
      </x:c>
      <x:c r="E70" s="14" t="str">
        <x:v>Apakah environment cloud dibangun melalui secure landing zone yang disetujui dengan guardrail identitas, jaringan, enkripsi, logging, dan konfigurasi?</x:v>
      </x:c>
      <x:c r="F70" s="14" t="str">
        <x:v>Cloud landing-zone standards, organization policies, CSPM results, IaC templates, exceptions.</x:v>
      </x:c>
      <x:c r="G70" s="14" t="str">
        <x:v>Sample accounts/subscriptions/projects; inspect guardrail enforcement and high-severity misconfigurations.</x:v>
      </x:c>
      <x:c r="H70" s="14" t="str">
        <x:v>PADK OJK 1/2026 Lampiran I Bab V/VI; SEOJK 29/2022 IV</x:v>
      </x:c>
      <x:c r="I70" s="14" t="str">
        <x:v>NIST CSF 2.0 PR.PS/PR.DS; ISO 27001:2022 5.23</x:v>
      </x:c>
      <x:c r="J70" s="14" t="str">
        <x:v>All Commercial Banks</x:v>
      </x:c>
      <x:c r="K70" s="14" t="str">
        <x:v>Critical</x:v>
      </x:c>
      <x:c r="L70" s="14" t="str">
        <x:v>Not Tested</x:v>
      </x:c>
      <x:c r="M70" s="14" t="str"/>
      <x:c r="N70" s="14" t="str"/>
    </x:row>
    <x:row r="71" ht="66" customHeight="1">
      <x:c r="A71" s="14" t="str">
        <x:v>PR-32</x:v>
      </x:c>
      <x:c r="B71" s="14" t="str">
        <x:v>PR</x:v>
      </x:c>
      <x:c r="C71" s="14" t="str">
        <x:v>Container/Kubernetes/IaC Security</x:v>
      </x:c>
      <x:c r="D71" s="14" t="str">
        <x:v>Are container images, registries, Kubernetes platforms, and infrastructure-as-code protected through secure build, scanning, signing, secrets controls, and policy enforcement?</x:v>
      </x:c>
      <x:c r="E71" s="14" t="str">
        <x:v>Apakah container image, registry, Kubernetes, dan infrastructure-as-code dilindungi melalui secure build, scanning, signing, secrets control, dan policy enforcement?</x:v>
      </x:c>
      <x:c r="F71" s="14" t="str">
        <x:v>Container/K8s baseline, image scan/signing, registry access, IaC scan, admission policies, secrets store.</x:v>
      </x:c>
      <x:c r="G71" s="14" t="str">
        <x:v>Sample production workloads; verify approved images, vulnerability gates, RBAC, secrets handling and IaC drift.</x:v>
      </x:c>
      <x:c r="H71" s="14" t="str">
        <x:v>PADK OJK 1/2026 Lampiran I Bab IV/V</x:v>
      </x:c>
      <x:c r="I71" s="14" t="str">
        <x:v>NIST CSF 2.0 PR.PS; CIS Benchmarks/Kubernetes guidance</x:v>
      </x:c>
      <x:c r="J71" s="14" t="str">
        <x:v>All Commercial Banks</x:v>
      </x:c>
      <x:c r="K71" s="14" t="str">
        <x:v>High</x:v>
      </x:c>
      <x:c r="L71" s="14" t="str">
        <x:v>Not Tested</x:v>
      </x:c>
      <x:c r="M71" s="14" t="str"/>
      <x:c r="N71" s="14" t="str"/>
    </x:row>
    <x:row r="72" ht="66" customHeight="1">
      <x:c r="A72" s="14" t="str">
        <x:v>PR-33</x:v>
      </x:c>
      <x:c r="B72" s="14" t="str">
        <x:v>PR</x:v>
      </x:c>
      <x:c r="C72" s="14" t="str">
        <x:v>Third-Party Security Clauses</x:v>
      </x:c>
      <x:c r="D72" s="14" t="str">
        <x:v>Do critical IT-service contracts contain enforceable security, incident, audit/access, data, subcontractor, resilience, return/deletion, and exit requirements?</x:v>
      </x:c>
      <x:c r="E72" s="14" t="str">
        <x:v>Apakah kontrak penyedia jasa TI kritikal memuat persyaratan keamanan, insiden, audit/akses, data, subkontraktor, ketahanan, pengembalian/penghapusan, dan exit yang dapat ditegakkan?</x:v>
      </x:c>
      <x:c r="F72" s="14" t="str">
        <x:v>Contract templates, executed agreements, security schedules, audit rights, SLA, data-return/deletion clauses.</x:v>
      </x:c>
      <x:c r="G72" s="14" t="str">
        <x:v>Sample critical contracts; compare to mandatory clause standard; identify gaps and remediation/acceptance.</x:v>
      </x:c>
      <x:c r="H72" s="14" t="str">
        <x:v>PADK OJK 1/2026 Lampiran I Bab V/VII</x:v>
      </x:c>
      <x:c r="I72" s="14" t="str">
        <x:v>NIST CSF 2.0 GV.SC; ISO 27001:2022 5.20-5.22</x:v>
      </x:c>
      <x:c r="J72" s="14" t="str">
        <x:v>All Commercial Banks</x:v>
      </x:c>
      <x:c r="K72" s="14" t="str">
        <x:v>High</x:v>
      </x:c>
      <x:c r="L72" s="14" t="str">
        <x:v>Not Tested</x:v>
      </x:c>
      <x:c r="M72" s="14" t="str"/>
      <x:c r="N72" s="14" t="str"/>
    </x:row>
    <x:row r="73" ht="66" customHeight="1">
      <x:c r="A73" s="14" t="str">
        <x:v>PR-34</x:v>
      </x:c>
      <x:c r="B73" s="14" t="str">
        <x:v>PR</x:v>
      </x:c>
      <x:c r="C73" s="14" t="str">
        <x:v>Privacy Consent</x:v>
      </x:c>
      <x:c r="D73" s="14" t="str">
        <x:v>Where consent is the processing basis, is it explicit, documented, granular, understandable, freely given, and withdrawable without pre-ticked defaults?</x:v>
      </x:c>
      <x:c r="E73" s="14" t="str">
        <x:v>Apabila persetujuan menjadi dasar pemrosesan, apakah persetujuan bersifat eksplisit, terdokumentasi, granular, mudah dipahami, diberikan secara bebas, dapat ditarik, dan tanpa pre-ticked default?</x:v>
      </x:c>
      <x:c r="F73" s="14" t="str">
        <x:v>Consent screens/forms, versioned notices, consent logs, withdrawal records, product requirements.</x:v>
      </x:c>
      <x:c r="G73" s="14" t="str">
        <x:v>Sample customer journeys and purposes; verify no automatic/pre-ticked consent, purpose separation and withdrawal execution.</x:v>
      </x:c>
      <x:c r="H73" s="14" t="str">
        <x:v>PADK OJK 1/2026 Lampiran I Bab VII; UU 27/2022</x:v>
      </x:c>
      <x:c r="I73" s="14" t="str">
        <x:v>NIST CSF 2.0 PR.DS/GV.OC; ISO 27001:2022 5.34</x:v>
      </x:c>
      <x:c r="J73" s="14" t="str">
        <x:v>All Commercial Banks</x:v>
      </x:c>
      <x:c r="K73" s="14" t="str">
        <x:v>Critical</x:v>
      </x:c>
      <x:c r="L73" s="14" t="str">
        <x:v>Not Tested</x:v>
      </x:c>
      <x:c r="M73" s="14" t="str"/>
      <x:c r="N73" s="14" t="str"/>
    </x:row>
    <x:row r="74" ht="66" customHeight="1">
      <x:c r="A74" s="14" t="str">
        <x:v>PR-35</x:v>
      </x:c>
      <x:c r="B74" s="14" t="str">
        <x:v>PR</x:v>
      </x:c>
      <x:c r="C74" s="14" t="str">
        <x:v>Privacy Impact Assessment</x:v>
      </x:c>
      <x:c r="D74" s="14" t="str">
        <x:v>Are DPIAs performed before high-risk personal-data processing, including new technology, behavioral/location tracking, large-scale monitoring, or sensitive data?</x:v>
      </x:c>
      <x:c r="E74" s="14" t="str">
        <x:v>Apakah DPIA dilakukan sebelum pemrosesan data pribadi berisiko tinggi, termasuk teknologi baru, pelacakan perilaku/lokasi, monitoring skala besar, atau data sensitif?</x:v>
      </x:c>
      <x:c r="F74" s="14" t="str">
        <x:v>DPIA methodology, completed assessments, risk treatments, privacy/security sign-off.</x:v>
      </x:c>
      <x:c r="G74" s="14" t="str">
        <x:v>Sample high-risk initiatives; verify DPIA timing, completeness, proportionality, rights-risk analysis and mitigations.</x:v>
      </x:c>
      <x:c r="H74" s="14" t="str">
        <x:v>PADK OJK 1/2026 Lampiran I Bab VII; UU 27/2022</x:v>
      </x:c>
      <x:c r="I74" s="14" t="str">
        <x:v>NIST CSF 2.0 GV.RM/ID.RA/PR.DS; ISO 27001:2022 5.34</x:v>
      </x:c>
      <x:c r="J74" s="14" t="str">
        <x:v>All Commercial Banks</x:v>
      </x:c>
      <x:c r="K74" s="14" t="str">
        <x:v>High</x:v>
      </x:c>
      <x:c r="L74" s="14" t="str">
        <x:v>Not Tested</x:v>
      </x:c>
      <x:c r="M74" s="14" t="str"/>
      <x:c r="N74" s="14" t="str"/>
    </x:row>
    <x:row r="75" ht="66" customHeight="1">
      <x:c r="A75" s="14" t="str">
        <x:v>PR-36</x:v>
      </x:c>
      <x:c r="B75" s="14" t="str">
        <x:v>PR</x:v>
      </x:c>
      <x:c r="C75" s="14" t="str">
        <x:v>Data Exchange &amp; Third Parties</x:v>
      </x:c>
      <x:c r="D75" s="14" t="str">
        <x:v>Are personal-data exchanges governed by approved methods, encryption, customer rights, accountability, and adequate third-party agreements?</x:v>
      </x:c>
      <x:c r="E75" s="14" t="str">
        <x:v>Apakah pertukaran data pribadi dikelola melalui metode yang disetujui, enkripsi, pemenuhan hak nasabah, pembagian tanggung jawab, serta perjanjian pihak ketiga yang memadai?</x:v>
      </x:c>
      <x:c r="F75" s="14" t="str">
        <x:v>Data-exchange policy, approved channels, encryption, data-sharing agreements, transfer logs, classifications.</x:v>
      </x:c>
      <x:c r="G75" s="14" t="str">
        <x:v>Sample external transfers; verify purpose/consent or other legal basis, secure channel, contract terms and data minimization.</x:v>
      </x:c>
      <x:c r="H75" s="14" t="str">
        <x:v>PADK OJK 1/2026 Lampiran I Bab VII</x:v>
      </x:c>
      <x:c r="I75" s="14" t="str">
        <x:v>NIST CSF 2.0 PR.DS/GV.SC; ISO 27001:2022 5.14/5.34</x:v>
      </x:c>
      <x:c r="J75" s="14" t="str">
        <x:v>All Commercial Banks</x:v>
      </x:c>
      <x:c r="K75" s="14" t="str">
        <x:v>Critical</x:v>
      </x:c>
      <x:c r="L75" s="14" t="str">
        <x:v>Not Tested</x:v>
      </x:c>
      <x:c r="M75" s="14" t="str"/>
      <x:c r="N75" s="14" t="str"/>
    </x:row>
    <x:row r="76" ht="66" customHeight="1">
      <x:c r="A76" s="14" t="str">
        <x:v>PR-37</x:v>
      </x:c>
      <x:c r="B76" s="14" t="str">
        <x:v>PR</x:v>
      </x:c>
      <x:c r="C76" s="14" t="str">
        <x:v>Data Retention &amp; Secure Deletion</x:v>
      </x:c>
      <x:c r="D76" s="14" t="str">
        <x:v>Are retention periods enforced and personal/sensitive data securely deleted or anonymized when no longer required?</x:v>
      </x:c>
      <x:c r="E76" s="14" t="str">
        <x:v>Apakah masa retensi ditegakkan dan data pribadi/sensitif dihapus secara aman atau dianonimkan ketika tidak lagi diperlukan?</x:v>
      </x:c>
      <x:c r="F76" s="14" t="str">
        <x:v>Retention schedule, automated deletion jobs, media disposal, legal holds, deletion evidence.</x:v>
      </x:c>
      <x:c r="G76" s="14" t="str">
        <x:v>Sample datasets past retention; test deletion/anonymization across production, backups and third parties where applicable.</x:v>
      </x:c>
      <x:c r="H76" s="14" t="str">
        <x:v>PADK OJK 1/2026 Lampiran I Bab VII; UU 27/2022</x:v>
      </x:c>
      <x:c r="I76" s="14" t="str">
        <x:v>NIST CSF 2.0 PR.DS; ISO 27001:2022 8.10</x:v>
      </x:c>
      <x:c r="J76" s="14" t="str">
        <x:v>All Commercial Banks</x:v>
      </x:c>
      <x:c r="K76" s="14" t="str">
        <x:v>High</x:v>
      </x:c>
      <x:c r="L76" s="14" t="str">
        <x:v>Not Tested</x:v>
      </x:c>
      <x:c r="M76" s="14" t="str"/>
      <x:c r="N76" s="14" t="str"/>
    </x:row>
    <x:row r="77" ht="66" customHeight="1">
      <x:c r="A77" s="14" t="str">
        <x:v>PR-38</x:v>
      </x:c>
      <x:c r="B77" s="14" t="str">
        <x:v>PR</x:v>
      </x:c>
      <x:c r="C77" s="14" t="str">
        <x:v>Personnel Security</x:v>
      </x:c>
      <x:c r="D77" s="14" t="str">
        <x:v>Are personnel screening, confidentiality obligations, role changes, termination controls, and disciplinary processes aligned to information-security risk?</x:v>
      </x:c>
      <x:c r="E77" s="14" t="str">
        <x:v>Apakah screening personel, kewajiban kerahasiaan, perubahan peran, kontrol terminasi, dan proses disiplin selaras dengan risiko keamanan informasi?</x:v>
      </x:c>
      <x:c r="F77" s="14" t="str">
        <x:v>Screening records, NDAs, HR security procedures, transfer/termination checklists.</x:v>
      </x:c>
      <x:c r="G77" s="14" t="str">
        <x:v>Sample high-risk roles and departures; verify screening, confidentiality and timely asset/access return.</x:v>
      </x:c>
      <x:c r="H77" s="14" t="str">
        <x:v>PADK OJK 1/2026 Lampiran I Bab II/IV</x:v>
      </x:c>
      <x:c r="I77" s="14" t="str">
        <x:v>NIST CSF 2.0 PR.AT/PR.AA; ISO 27001:2022 6.1-6.6</x:v>
      </x:c>
      <x:c r="J77" s="14" t="str">
        <x:v>All Commercial Banks</x:v>
      </x:c>
      <x:c r="K77" s="14" t="str">
        <x:v>Medium</x:v>
      </x:c>
      <x:c r="L77" s="14" t="str">
        <x:v>Not Tested</x:v>
      </x:c>
      <x:c r="M77" s="14" t="str"/>
      <x:c r="N77" s="14" t="str"/>
    </x:row>
    <x:row r="78" ht="66" customHeight="1">
      <x:c r="A78" s="14" t="str">
        <x:v>PR-39</x:v>
      </x:c>
      <x:c r="B78" s="14" t="str">
        <x:v>PR</x:v>
      </x:c>
      <x:c r="C78" s="14" t="str">
        <x:v>Physical &amp; Environmental Security</x:v>
      </x:c>
      <x:c r="D78" s="14" t="str">
        <x:v>Are data centers, server rooms, network rooms, and critical facilities protected by layered physical and environmental controls?</x:v>
      </x:c>
      <x:c r="E78" s="14" t="str">
        <x:v>Apakah data center, ruang server, ruang jaringan, dan fasilitas kritikal dilindungi dengan kontrol fisik dan lingkungan berlapis?</x:v>
      </x:c>
      <x:c r="F78" s="14" t="str">
        <x:v>Access-control logs, CCTV, visitor logs, rack controls, fire/HVAC/power monitoring, maintenance records.</x:v>
      </x:c>
      <x:c r="G78" s="14" t="str">
        <x:v>Walk through selected critical sites; sample access logs against authorization; test environmental alarm/response records.</x:v>
      </x:c>
      <x:c r="H78" s="14" t="str">
        <x:v>PADK OJK 1/2026 Lampiran I Bab IV</x:v>
      </x:c>
      <x:c r="I78" s="14" t="str">
        <x:v>NIST CSF 2.0 PR.IR/PR.PS; ISO 27001:2022 7.1-7.14</x:v>
      </x:c>
      <x:c r="J78" s="14" t="str">
        <x:v>All Commercial Banks</x:v>
      </x:c>
      <x:c r="K78" s="14" t="str">
        <x:v>High</x:v>
      </x:c>
      <x:c r="L78" s="14" t="str">
        <x:v>Not Tested</x:v>
      </x:c>
      <x:c r="M78" s="14" t="str"/>
      <x:c r="N78" s="14" t="str"/>
    </x:row>
    <x:row r="79" ht="66" customHeight="1">
      <x:c r="A79" s="14" t="str">
        <x:v>DE-01</x:v>
      </x:c>
      <x:c r="B79" s="14" t="str">
        <x:v>DE</x:v>
      </x:c>
      <x:c r="C79" s="14" t="str">
        <x:v>Central Logging</x:v>
      </x:c>
      <x:c r="D79" s="14" t="str">
        <x:v>Are security-relevant logs from critical systems, applications, databases, network, cloud, identity, and security tools centrally collected?</x:v>
      </x:c>
      <x:c r="E79" s="14" t="str">
        <x:v>Apakah log yang relevan untuk keamanan dari sistem, aplikasi, database, jaringan, cloud, identitas, dan security tools kritikal dikumpulkan secara terpusat?</x:v>
      </x:c>
      <x:c r="F79" s="14" t="str">
        <x:v>Logging standard, log-source inventory, SIEM onboarding matrix, ingestion health, exceptions.</x:v>
      </x:c>
      <x:c r="G79" s="14" t="str">
        <x:v>Reconcile critical-asset inventory to log-source inventory; sample sources for completeness and ingestion continuity.</x:v>
      </x:c>
      <x:c r="H79" s="14" t="str">
        <x:v>SEOJK 29/2022 IV.4; PADK OJK 1/2026 Lampiran I Bab IV</x:v>
      </x:c>
      <x:c r="I79" s="14" t="str">
        <x:v>NIST CSF 2.0 DE.CM; CIS v8.1 Control 8</x:v>
      </x:c>
      <x:c r="J79" s="14" t="str">
        <x:v>All Commercial Banks</x:v>
      </x:c>
      <x:c r="K79" s="14" t="str">
        <x:v>Critical</x:v>
      </x:c>
      <x:c r="L79" s="14" t="str">
        <x:v>Not Tested</x:v>
      </x:c>
      <x:c r="M79" s="14" t="str"/>
      <x:c r="N79" s="14" t="str"/>
    </x:row>
    <x:row r="80" ht="66" customHeight="1">
      <x:c r="A80" s="14" t="str">
        <x:v>DE-02</x:v>
      </x:c>
      <x:c r="B80" s="14" t="str">
        <x:v>DE</x:v>
      </x:c>
      <x:c r="C80" s="14" t="str">
        <x:v>Log Integrity &amp; Retention</x:v>
      </x:c>
      <x:c r="D80" s="14" t="str">
        <x:v>Are security logs time-synchronized, tamper-resistant, access-controlled, searchable, and retained according to risk and legal requirements?</x:v>
      </x:c>
      <x:c r="E80" s="14" t="str">
        <x:v>Apakah log keamanan tersinkronisasi waktu, tahan terhadap perubahan, dibatasi aksesnya, searchable, dan disimpan sesuai risiko serta kewajiban hukum?</x:v>
      </x:c>
      <x:c r="F80" s="14" t="str">
        <x:v>NTP configuration, immutable/WORM settings, retention policies, SIEM access, storage monitoring.</x:v>
      </x:c>
      <x:c r="G80" s="14" t="str">
        <x:v>Sample log sources; compare timestamps, retention, privileged access and evidence of integrity controls.</x:v>
      </x:c>
      <x:c r="H80" s="14" t="str">
        <x:v>PADK OJK 1/2026 Lampiran I Bab IV; SEOJK 29/2022 IV.4</x:v>
      </x:c>
      <x:c r="I80" s="14" t="str">
        <x:v>NIST CSF 2.0 DE.CM/PR.DS; CIS v8.1 Control 8</x:v>
      </x:c>
      <x:c r="J80" s="14" t="str">
        <x:v>All Commercial Banks</x:v>
      </x:c>
      <x:c r="K80" s="14" t="str">
        <x:v>High</x:v>
      </x:c>
      <x:c r="L80" s="14" t="str">
        <x:v>Not Tested</x:v>
      </x:c>
      <x:c r="M80" s="14" t="str"/>
      <x:c r="N80" s="14" t="str"/>
    </x:row>
    <x:row r="81" ht="66" customHeight="1">
      <x:c r="A81" s="14" t="str">
        <x:v>DE-03</x:v>
      </x:c>
      <x:c r="B81" s="14" t="str">
        <x:v>DE</x:v>
      </x:c>
      <x:c r="C81" s="14" t="str">
        <x:v>SOC Coverage</x:v>
      </x:c>
      <x:c r="D81" s="14" t="str">
        <x:v>Does the Bank provide continuous monitoring and incident triage commensurate with its critical services and threat exposure, including after-hours coverage?</x:v>
      </x:c>
      <x:c r="E81" s="14" t="str">
        <x:v>Apakah Bank menyediakan monitoring dan triage insiden secara berkelanjutan sesuai layanan kritikal dan eksposur ancaman, termasuk coverage di luar jam kerja?</x:v>
      </x:c>
      <x:c r="F81" s="14" t="str">
        <x:v>SOC operating model, shifts/on-call roster, MSSP SLA, monitoring scope, escalation procedures.</x:v>
      </x:c>
      <x:c r="G81" s="14" t="str">
        <x:v>Review incidents outside business hours; verify monitoring/triage SLA and handover effectiveness.</x:v>
      </x:c>
      <x:c r="H81" s="14" t="str">
        <x:v>SEOJK 29/2022 IV.4/VIII; PADK OJK 1/2026 Lampiran I Bab IV</x:v>
      </x:c>
      <x:c r="I81" s="14" t="str">
        <x:v>NIST CSF 2.0 DE.CM/RS.MA</x:v>
      </x:c>
      <x:c r="J81" s="14" t="str">
        <x:v>All Commercial Banks</x:v>
      </x:c>
      <x:c r="K81" s="14" t="str">
        <x:v>High</x:v>
      </x:c>
      <x:c r="L81" s="14" t="str">
        <x:v>Not Tested</x:v>
      </x:c>
      <x:c r="M81" s="14" t="str"/>
      <x:c r="N81" s="14" t="str"/>
    </x:row>
    <x:row r="82" ht="66" customHeight="1">
      <x:c r="A82" s="14" t="str">
        <x:v>DE-04</x:v>
      </x:c>
      <x:c r="B82" s="14" t="str">
        <x:v>DE</x:v>
      </x:c>
      <x:c r="C82" s="14" t="str">
        <x:v>Detection Use Cases</x:v>
      </x:c>
      <x:c r="D82" s="14" t="str">
        <x:v>Are detection use cases mapped to priority threat scenarios, critical assets, tactics/techniques, and measurable response actions?</x:v>
      </x:c>
      <x:c r="E82" s="14" t="str">
        <x:v>Apakah use case deteksi dipetakan ke skenario ancaman prioritas, aset kritikal, taktik/teknik, dan respons yang terukur?</x:v>
      </x:c>
      <x:c r="F82" s="14" t="str">
        <x:v>Detection catalogue, threat mapping, use-case owners, logic, test evidence, coverage gaps.</x:v>
      </x:c>
      <x:c r="G82" s="14" t="str">
        <x:v>Sample top threats; trace to active detections and test using historical/simulated events.</x:v>
      </x:c>
      <x:c r="H82" s="14" t="str">
        <x:v>SEOJK 29/2022 IV.4</x:v>
      </x:c>
      <x:c r="I82" s="14" t="str">
        <x:v>NIST CSF 2.0 DE.CM/DE.AE; MITRE ATT&amp;CK</x:v>
      </x:c>
      <x:c r="J82" s="14" t="str">
        <x:v>All Commercial Banks</x:v>
      </x:c>
      <x:c r="K82" s="14" t="str">
        <x:v>High</x:v>
      </x:c>
      <x:c r="L82" s="14" t="str">
        <x:v>Not Tested</x:v>
      </x:c>
      <x:c r="M82" s="14" t="str"/>
      <x:c r="N82" s="14" t="str"/>
    </x:row>
    <x:row r="83" ht="66" customHeight="1">
      <x:c r="A83" s="14" t="str">
        <x:v>DE-05</x:v>
      </x:c>
      <x:c r="B83" s="14" t="str">
        <x:v>DE</x:v>
      </x:c>
      <x:c r="C83" s="14" t="str">
        <x:v>EDR/XDR Monitoring</x:v>
      </x:c>
      <x:c r="D83" s="14" t="str">
        <x:v>Are EDR/XDR controls deployed and actively monitored across supported endpoints and servers with tamper protection?</x:v>
      </x:c>
      <x:c r="E83" s="14" t="str">
        <x:v>Apakah kontrol EDR/XDR diterapkan dan dimonitor aktif pada endpoint serta server yang didukung dengan tamper protection?</x:v>
      </x:c>
      <x:c r="F83" s="14" t="str">
        <x:v>Coverage dashboard, policy status, detections, exclusions, sensor health.</x:v>
      </x:c>
      <x:c r="G83" s="14" t="str">
        <x:v>Reconcile assets to healthy sensors; inspect exclusions; sample high-severity alerts and response.</x:v>
      </x:c>
      <x:c r="H83" s="14" t="str">
        <x:v>PADK OJK 1/2026 Lampiran I Bab IV; SEOJK 29/2022 IV.4</x:v>
      </x:c>
      <x:c r="I83" s="14" t="str">
        <x:v>NIST CSF 2.0 DE.CM; CIS v8.1 Controls 10/13</x:v>
      </x:c>
      <x:c r="J83" s="14" t="str">
        <x:v>All Commercial Banks</x:v>
      </x:c>
      <x:c r="K83" s="14" t="str">
        <x:v>Critical</x:v>
      </x:c>
      <x:c r="L83" s="14" t="str">
        <x:v>Not Tested</x:v>
      </x:c>
      <x:c r="M83" s="14" t="str"/>
      <x:c r="N83" s="14" t="str"/>
    </x:row>
    <x:row r="84" ht="66" customHeight="1">
      <x:c r="A84" s="14" t="str">
        <x:v>DE-06</x:v>
      </x:c>
      <x:c r="B84" s="14" t="str">
        <x:v>DE</x:v>
      </x:c>
      <x:c r="C84" s="14" t="str">
        <x:v>Network Detection</x:v>
      </x:c>
      <x:c r="D84" s="14" t="str">
        <x:v>Are network, DNS, proxy, firewall, and NDR telemetry monitored for lateral movement, command-and-control, exfiltration, and anomalous traffic?</x:v>
      </x:c>
      <x:c r="E84" s="14" t="str">
        <x:v>Apakah telemetry jaringan, DNS, proxy, firewall, dan NDR dimonitor untuk lateral movement, command-and-control, exfiltration, dan trafik anomali?</x:v>
      </x:c>
      <x:c r="F84" s="14" t="str">
        <x:v>NDR/IDS policies, network telemetry coverage, detections, packet/flow retention.</x:v>
      </x:c>
      <x:c r="G84" s="14" t="str">
        <x:v>Sample key network zones and attack paths; verify telemetry visibility and alerting for selected scenarios.</x:v>
      </x:c>
      <x:c r="H84" s="14" t="str">
        <x:v>SEOJK 29/2022 IV.4; PADK OJK 1/2026 Lampiran I Bab IV</x:v>
      </x:c>
      <x:c r="I84" s="14" t="str">
        <x:v>NIST CSF 2.0 DE.CM/DE.AE; CIS v8.1 Control 13</x:v>
      </x:c>
      <x:c r="J84" s="14" t="str">
        <x:v>All Commercial Banks</x:v>
      </x:c>
      <x:c r="K84" s="14" t="str">
        <x:v>High</x:v>
      </x:c>
      <x:c r="L84" s="14" t="str">
        <x:v>Not Tested</x:v>
      </x:c>
      <x:c r="M84" s="14" t="str"/>
      <x:c r="N84" s="14" t="str"/>
    </x:row>
    <x:row r="85" ht="66" customHeight="1">
      <x:c r="A85" s="14" t="str">
        <x:v>DE-07</x:v>
      </x:c>
      <x:c r="B85" s="14" t="str">
        <x:v>DE</x:v>
      </x:c>
      <x:c r="C85" s="14" t="str">
        <x:v>Identity Threat Detection</x:v>
      </x:c>
      <x:c r="D85" s="14" t="str">
        <x:v>Are identity events monitored for impossible travel, MFA abuse, privilege escalation, credential stuffing, and suspicious administrative activity?</x:v>
      </x:c>
      <x:c r="E85" s="14" t="str">
        <x:v>Apakah event identitas dimonitor untuk impossible travel, penyalahgunaan MFA, privilege escalation, credential stuffing, dan aktivitas admin yang mencurigakan?</x:v>
      </x:c>
      <x:c r="F85" s="14" t="str">
        <x:v>IdP/PAM logs, UEBA rules, alert cases, identity-risk policies.</x:v>
      </x:c>
      <x:c r="G85" s="14" t="str">
        <x:v>Sample detection rules; replay/review relevant historical events; verify high-risk identity alerts trigger containment.</x:v>
      </x:c>
      <x:c r="H85" s="14" t="str">
        <x:v>PADK OJK 1/2026 Lampiran I Bab IV; SEOJK 29/2022 IV.4</x:v>
      </x:c>
      <x:c r="I85" s="14" t="str">
        <x:v>NIST CSF 2.0 DE.CM/DE.AE</x:v>
      </x:c>
      <x:c r="J85" s="14" t="str">
        <x:v>All Commercial Banks</x:v>
      </x:c>
      <x:c r="K85" s="14" t="str">
        <x:v>Critical</x:v>
      </x:c>
      <x:c r="L85" s="14" t="str">
        <x:v>Not Tested</x:v>
      </x:c>
      <x:c r="M85" s="14" t="str"/>
      <x:c r="N85" s="14" t="str"/>
    </x:row>
    <x:row r="86" ht="66" customHeight="1">
      <x:c r="A86" s="14" t="str">
        <x:v>DE-08</x:v>
      </x:c>
      <x:c r="B86" s="14" t="str">
        <x:v>DE</x:v>
      </x:c>
      <x:c r="C86" s="14" t="str">
        <x:v>Insider Threat Monitoring</x:v>
      </x:c>
      <x:c r="D86" s="14" t="str">
        <x:v>Are insider-threat indicators monitored using proportionate, privacy-aware correlation of access, data movement, privilege, and behavioral anomalies?</x:v>
      </x:c>
      <x:c r="E86" s="14" t="str">
        <x:v>Apakah indikator insider threat dimonitor secara proporsional dan memperhatikan privasi melalui korelasi akses, pergerakan data, privilege, dan anomali perilaku?</x:v>
      </x:c>
      <x:c r="F86" s="14" t="str">
        <x:v>Insider-threat procedure, UEBA/DLP use cases, HR/legal escalation protocol, privacy safeguards.</x:v>
      </x:c>
      <x:c r="G86" s="14" t="str">
        <x:v>Sample cases; verify appropriate authorization, evidence correlation, escalation and privacy controls.</x:v>
      </x:c>
      <x:c r="H86" s="14" t="str">
        <x:v>PADK OJK 1/2026 Lampiran I Bab IV/VII; UU 27/2022</x:v>
      </x:c>
      <x:c r="I86" s="14" t="str">
        <x:v>NIST CSF 2.0 DE.CM/DE.AE/GV.OC</x:v>
      </x:c>
      <x:c r="J86" s="14" t="str">
        <x:v>All Commercial Banks</x:v>
      </x:c>
      <x:c r="K86" s="14" t="str">
        <x:v>High</x:v>
      </x:c>
      <x:c r="L86" s="14" t="str">
        <x:v>Not Tested</x:v>
      </x:c>
      <x:c r="M86" s="14" t="str"/>
      <x:c r="N86" s="14" t="str"/>
    </x:row>
    <x:row r="87" ht="66" customHeight="1">
      <x:c r="A87" s="14" t="str">
        <x:v>DE-09</x:v>
      </x:c>
      <x:c r="B87" s="14" t="str">
        <x:v>DE</x:v>
      </x:c>
      <x:c r="C87" s="14" t="str">
        <x:v>Digital Fraud Monitoring</x:v>
      </x:c>
      <x:c r="D87" s="14" t="str">
        <x:v>Are digital transactions monitored in real time or near real time for fraud and account-takeover patterns using adaptive rules/models?</x:v>
      </x:c>
      <x:c r="E87" s="14" t="str">
        <x:v>Apakah transaksi digital dimonitor secara real time atau near real time untuk pola fraud dan account takeover menggunakan rule/model yang adaptif?</x:v>
      </x:c>
      <x:c r="F87" s="14" t="str">
        <x:v>Fraud engine rules/models, alert SLA, tuning, case outcomes, false-positive/false-negative analysis.</x:v>
      </x:c>
      <x:c r="G87" s="14" t="str">
        <x:v>Sample fraud scenarios and recent cases; trace detection, customer protection, tuning and loss prevention.</x:v>
      </x:c>
      <x:c r="H87" s="14" t="str">
        <x:v>POJK 21/2023; POJK 22/2023</x:v>
      </x:c>
      <x:c r="I87" s="14" t="str">
        <x:v>NIST CSF 2.0 DE.AE/RS.MA</x:v>
      </x:c>
      <x:c r="J87" s="14" t="str">
        <x:v>Conditional – Digital Services</x:v>
      </x:c>
      <x:c r="K87" s="14" t="str">
        <x:v>Critical</x:v>
      </x:c>
      <x:c r="L87" s="14" t="str">
        <x:v>Not Tested</x:v>
      </x:c>
      <x:c r="M87" s="14" t="str"/>
      <x:c r="N87" s="14" t="str"/>
    </x:row>
    <x:row r="88" ht="66" customHeight="1">
      <x:c r="A88" s="14" t="str">
        <x:v>DE-10</x:v>
      </x:c>
      <x:c r="B88" s="14" t="str">
        <x:v>DE</x:v>
      </x:c>
      <x:c r="C88" s="14" t="str">
        <x:v>Threat Intelligence</x:v>
      </x:c>
      <x:c r="D88" s="14" t="str">
        <x:v>Does the Bank consume, validate, prioritize, and operationalize relevant threat intelligence into blocking, detection, vulnerability, and risk decisions?</x:v>
      </x:c>
      <x:c r="E88" s="14" t="str">
        <x:v>Apakah Bank mengonsumsi, memvalidasi, memprioritaskan, dan mengoperasionalkan threat intelligence ke blocking, deteksi, vulnerability, serta keputusan risiko?</x:v>
      </x:c>
      <x:c r="F88" s="14" t="str">
        <x:v>Threat feeds/reports, intelligence requirements, IOC deployment, advisories, risk updates.</x:v>
      </x:c>
      <x:c r="G88" s="14" t="str">
        <x:v>Sample high-priority intelligence; trace to implemented detection/blocking/patching/risk actions.</x:v>
      </x:c>
      <x:c r="H88" s="14" t="str">
        <x:v>SEOJK 29/2022 IV.2/IV.4</x:v>
      </x:c>
      <x:c r="I88" s="14" t="str">
        <x:v>NIST CSF 2.0 ID.RA/DE.CM</x:v>
      </x:c>
      <x:c r="J88" s="14" t="str">
        <x:v>All Commercial Banks</x:v>
      </x:c>
      <x:c r="K88" s="14" t="str">
        <x:v>Medium</x:v>
      </x:c>
      <x:c r="L88" s="14" t="str">
        <x:v>Not Tested</x:v>
      </x:c>
      <x:c r="M88" s="14" t="str"/>
      <x:c r="N88" s="14" t="str"/>
    </x:row>
    <x:row r="89" ht="66" customHeight="1">
      <x:c r="A89" s="14" t="str">
        <x:v>DE-11</x:v>
      </x:c>
      <x:c r="B89" s="14" t="str">
        <x:v>DE</x:v>
      </x:c>
      <x:c r="C89" s="14" t="str">
        <x:v>Continuous Vulnerability Scanning</x:v>
      </x:c>
      <x:c r="D89" s="14" t="str">
        <x:v>Are vulnerability scans performed at risk-appropriate frequency with authenticated/internal, external, cloud, and application coverage?</x:v>
      </x:c>
      <x:c r="E89" s="14" t="str">
        <x:v>Apakah vulnerability scanning dilakukan dengan frekuensi sesuai risiko serta mencakup authenticated/internal, external, cloud, dan aplikasi?</x:v>
      </x:c>
      <x:c r="F89" s="14" t="str">
        <x:v>Scan schedules, credentials, coverage, scanner health, reports.</x:v>
      </x:c>
      <x:c r="G89" s="14" t="str">
        <x:v>Compare scan scope to inventories; inspect failed scans and coverage gaps; sample remediation linkage.</x:v>
      </x:c>
      <x:c r="H89" s="14" t="str">
        <x:v>SEOJK 29/2022 IV.2; PADK OJK 1/2026 Lampiran I Bab IV</x:v>
      </x:c>
      <x:c r="I89" s="14" t="str">
        <x:v>NIST CSF 2.0 DE.CM/ID.RA; CIS v8.1 Control 7</x:v>
      </x:c>
      <x:c r="J89" s="14" t="str">
        <x:v>All Commercial Banks</x:v>
      </x:c>
      <x:c r="K89" s="14" t="str">
        <x:v>High</x:v>
      </x:c>
      <x:c r="L89" s="14" t="str">
        <x:v>Not Tested</x:v>
      </x:c>
      <x:c r="M89" s="14" t="str"/>
      <x:c r="N89" s="14" t="str"/>
    </x:row>
    <x:row r="90" ht="66" customHeight="1">
      <x:c r="A90" s="14" t="str">
        <x:v>DE-12</x:v>
      </x:c>
      <x:c r="B90" s="14" t="str">
        <x:v>DE</x:v>
      </x:c>
      <x:c r="C90" s="14" t="str">
        <x:v>External Exposure Monitoring</x:v>
      </x:c>
      <x:c r="D90" s="14" t="str">
        <x:v>Are newly exposed internet services, leaked credentials, look-alike domains, and certificate/DNS anomalies detected and triaged?</x:v>
      </x:c>
      <x:c r="E90" s="14" t="str">
        <x:v>Apakah layanan internet baru yang terekspos, credential bocor, domain tiruan, serta anomali sertifikat/DNS dideteksi dan ditriage?</x:v>
      </x:c>
      <x:c r="F90" s="14" t="str">
        <x:v>ASM/digital-risk alerts, takedown cases, credential leak monitoring, domain watch.</x:v>
      </x:c>
      <x:c r="G90" s="14" t="str">
        <x:v>Sample recent alerts; verify ownership, triage speed, takedown/remediation and escalation.</x:v>
      </x:c>
      <x:c r="H90" s="14" t="str">
        <x:v>SEOJK 29/2022 IV.2/IV.4</x:v>
      </x:c>
      <x:c r="I90" s="14" t="str">
        <x:v>NIST CSF 2.0 DE.CM/DE.AE</x:v>
      </x:c>
      <x:c r="J90" s="14" t="str">
        <x:v>All Commercial Banks</x:v>
      </x:c>
      <x:c r="K90" s="14" t="str">
        <x:v>High</x:v>
      </x:c>
      <x:c r="L90" s="14" t="str">
        <x:v>Not Tested</x:v>
      </x:c>
      <x:c r="M90" s="14" t="str"/>
      <x:c r="N90" s="14" t="str"/>
    </x:row>
    <x:row r="91" ht="66" customHeight="1">
      <x:c r="A91" s="14" t="str">
        <x:v>DE-13</x:v>
      </x:c>
      <x:c r="B91" s="14" t="str">
        <x:v>DE</x:v>
      </x:c>
      <x:c r="C91" s="14" t="str">
        <x:v>Cloud Detection</x:v>
      </x:c>
      <x:c r="D91" s="14" t="str">
        <x:v>Are cloud control-plane, identity, network, workload, storage, and security-service events monitored centrally for suspicious activity?</x:v>
      </x:c>
      <x:c r="E91" s="14" t="str">
        <x:v>Apakah event control-plane, identity, network, workload, storage, dan security service cloud dimonitor secara terpusat untuk aktivitas mencurigakan?</x:v>
      </x:c>
      <x:c r="F91" s="14" t="str">
        <x:v>Cloud-native logs, SIEM integration, CSPM/CWPP alerts, cloud detection rules.</x:v>
      </x:c>
      <x:c r="G91" s="14" t="str">
        <x:v>Sample high-risk cloud events; verify logs are enabled, retained, correlated and acted upon.</x:v>
      </x:c>
      <x:c r="H91" s="14" t="str">
        <x:v>PADK OJK 1/2026 Lampiran I Bab V/VI; SEOJK 29/2022 IV</x:v>
      </x:c>
      <x:c r="I91" s="14" t="str">
        <x:v>NIST CSF 2.0 DE.CM/DE.AE</x:v>
      </x:c>
      <x:c r="J91" s="14" t="str">
        <x:v>All Commercial Banks</x:v>
      </x:c>
      <x:c r="K91" s="14" t="str">
        <x:v>Critical</x:v>
      </x:c>
      <x:c r="L91" s="14" t="str">
        <x:v>Not Tested</x:v>
      </x:c>
      <x:c r="M91" s="14" t="str"/>
      <x:c r="N91" s="14" t="str"/>
    </x:row>
    <x:row r="92" ht="66" customHeight="1">
      <x:c r="A92" s="14" t="str">
        <x:v>DE-14</x:v>
      </x:c>
      <x:c r="B92" s="14" t="str">
        <x:v>DE</x:v>
      </x:c>
      <x:c r="C92" s="14" t="str">
        <x:v>API Monitoring</x:v>
      </x:c>
      <x:c r="D92" s="14" t="str">
        <x:v>Are API traffic and security events monitored for abuse, enumeration, broken authorization, anomalous consumption, and data exfiltration?</x:v>
      </x:c>
      <x:c r="E92" s="14" t="str">
        <x:v>Apakah trafik dan event keamanan API dimonitor untuk abuse, enumeration, broken authorization, konsumsi anomali, dan data exfiltration?</x:v>
      </x:c>
      <x:c r="F92" s="14" t="str">
        <x:v>API gateway analytics, API security alerts, WAF logs, anomaly rules, cases.</x:v>
      </x:c>
      <x:c r="G92" s="14" t="str">
        <x:v>Sample critical APIs; review visibility into identities/endpoints/errors/volume; inspect alert handling.</x:v>
      </x:c>
      <x:c r="H92" s="14" t="str">
        <x:v>PADK OJK 1/2026 Lampiran I Bab IV; POJK 21/2023 where applicable</x:v>
      </x:c>
      <x:c r="I92" s="14" t="str">
        <x:v>NIST CSF 2.0 DE.CM/DE.AE; NIST SP 800-228 Update 1</x:v>
      </x:c>
      <x:c r="J92" s="14" t="str">
        <x:v>All Commercial Banks</x:v>
      </x:c>
      <x:c r="K92" s="14" t="str">
        <x:v>High</x:v>
      </x:c>
      <x:c r="L92" s="14" t="str">
        <x:v>Not Tested</x:v>
      </x:c>
      <x:c r="M92" s="14" t="str"/>
      <x:c r="N92" s="14" t="str"/>
    </x:row>
    <x:row r="93" ht="66" customHeight="1">
      <x:c r="A93" s="14" t="str">
        <x:v>DE-15</x:v>
      </x:c>
      <x:c r="B93" s="14" t="str">
        <x:v>DE</x:v>
      </x:c>
      <x:c r="C93" s="14" t="str">
        <x:v>DLP Alert Monitoring</x:v>
      </x:c>
      <x:c r="D93" s="14" t="str">
        <x:v>Are DLP alerts prioritized, investigated, linked to data classification and insider/fraud scenarios, and tuned based on outcomes?</x:v>
      </x:c>
      <x:c r="E93" s="14" t="str">
        <x:v>Apakah alert DLP diprioritaskan, diinvestigasi, dikaitkan dengan klasifikasi data serta skenario insider/fraud, dan dituning berdasarkan outcome?</x:v>
      </x:c>
      <x:c r="F93" s="14" t="str">
        <x:v>DLP cases, severity model, investigation notes, tuning changes, escalation.</x:v>
      </x:c>
      <x:c r="G93" s="14" t="str">
        <x:v>Sample high-severity DLP cases; verify data context, investigation, escalation and closure evidence.</x:v>
      </x:c>
      <x:c r="H93" s="14" t="str">
        <x:v>PADK OJK 1/2026 Lampiran I Bab VII</x:v>
      </x:c>
      <x:c r="I93" s="14" t="str">
        <x:v>NIST CSF 2.0 DE.CM/DE.AE</x:v>
      </x:c>
      <x:c r="J93" s="14" t="str">
        <x:v>All Commercial Banks</x:v>
      </x:c>
      <x:c r="K93" s="14" t="str">
        <x:v>High</x:v>
      </x:c>
      <x:c r="L93" s="14" t="str">
        <x:v>Not Tested</x:v>
      </x:c>
      <x:c r="M93" s="14" t="str"/>
      <x:c r="N93" s="14" t="str"/>
    </x:row>
    <x:row r="94" ht="66" customHeight="1">
      <x:c r="A94" s="14" t="str">
        <x:v>DE-16</x:v>
      </x:c>
      <x:c r="B94" s="14" t="str">
        <x:v>DE</x:v>
      </x:c>
      <x:c r="C94" s="14" t="str">
        <x:v>Third-Party Monitoring</x:v>
      </x:c>
      <x:c r="D94" s="14" t="str">
        <x:v>Are critical technology providers monitored for security posture, outages, control deterioration, incidents, and SLA breaches?</x:v>
      </x:c>
      <x:c r="E94" s="14" t="str">
        <x:v>Apakah penyedia jasa teknologi kritikal dimonitor atas security posture, outage, penurunan kontrol, insiden, dan pelanggaran SLA?</x:v>
      </x:c>
      <x:c r="F94" s="14" t="str">
        <x:v>Vendor monitoring reports, SLA dashboards, assurance reports, incidents, risk reassessments.</x:v>
      </x:c>
      <x:c r="G94" s="14" t="str">
        <x:v>Sample critical providers; inspect monitoring cadence and evidence that adverse changes triggered reassessment/escalation.</x:v>
      </x:c>
      <x:c r="H94" s="14" t="str">
        <x:v>PADK OJK 1/2026 Lampiran I Bab V</x:v>
      </x:c>
      <x:c r="I94" s="14" t="str">
        <x:v>NIST CSF 2.0 GV.SC/DE.CM</x:v>
      </x:c>
      <x:c r="J94" s="14" t="str">
        <x:v>All Commercial Banks</x:v>
      </x:c>
      <x:c r="K94" s="14" t="str">
        <x:v>High</x:v>
      </x:c>
      <x:c r="L94" s="14" t="str">
        <x:v>Not Tested</x:v>
      </x:c>
      <x:c r="M94" s="14" t="str"/>
      <x:c r="N94" s="14" t="str"/>
    </x:row>
    <x:row r="95" ht="66" customHeight="1">
      <x:c r="A95" s="14" t="str">
        <x:v>DE-17</x:v>
      </x:c>
      <x:c r="B95" s="14" t="str">
        <x:v>DE</x:v>
      </x:c>
      <x:c r="C95" s="14" t="str">
        <x:v>MTTD &amp; Detection Effectiveness</x:v>
      </x:c>
      <x:c r="D95" s="14" t="str">
        <x:v>Does the Bank measure MTTD and other detection-quality metrics such as coverage, fidelity, false positives, and missed detections?</x:v>
      </x:c>
      <x:c r="E95" s="14" t="str">
        <x:v>Apakah Bank mengukur MTTD serta metrik kualitas deteksi lain seperti coverage, fidelity, false positive, dan missed detection?</x:v>
      </x:c>
      <x:c r="F95" s="14" t="str">
        <x:v>Detection KPI/KRI dashboard, alert volumes, MTTD calculations, false-positive trends, purple-team outcomes.</x:v>
      </x:c>
      <x:c r="G95" s="14" t="str">
        <x:v>Recalculate selected metrics; compare to target; inspect remediation for deteriorating detection performance.</x:v>
      </x:c>
      <x:c r="H95" s="14" t="str">
        <x:v>SEOJK 29/2022 III/IV</x:v>
      </x:c>
      <x:c r="I95" s="14" t="str">
        <x:v>NIST CSF 2.0 DE.CM/ID.IM</x:v>
      </x:c>
      <x:c r="J95" s="14" t="str">
        <x:v>All Commercial Banks</x:v>
      </x:c>
      <x:c r="K95" s="14" t="str">
        <x:v>Medium</x:v>
      </x:c>
      <x:c r="L95" s="14" t="str">
        <x:v>Not Tested</x:v>
      </x:c>
      <x:c r="M95" s="14" t="str"/>
      <x:c r="N95" s="14" t="str"/>
    </x:row>
    <x:row r="96" ht="66" customHeight="1">
      <x:c r="A96" s="14" t="str">
        <x:v>DE-18</x:v>
      </x:c>
      <x:c r="B96" s="14" t="str">
        <x:v>DE</x:v>
      </x:c>
      <x:c r="C96" s="14" t="str">
        <x:v>Detection Testing</x:v>
      </x:c>
      <x:c r="D96" s="14" t="str">
        <x:v>Are critical detection controls periodically tested through simulations, purple teaming, control validation, or equivalent techniques?</x:v>
      </x:c>
      <x:c r="E96" s="14" t="str">
        <x:v>Apakah kontrol deteksi kritikal diuji secara berkala melalui simulasi, purple teaming, control validation, atau teknik setara?</x:v>
      </x:c>
      <x:c r="F96" s="14" t="str">
        <x:v>Detection test plan, purple-team results, atomic/simulation tests, gap remediation.</x:v>
      </x:c>
      <x:c r="G96" s="14" t="str">
        <x:v>Sample priority threat techniques; verify detections fire end-to-end and gaps are tracked to closure.</x:v>
      </x:c>
      <x:c r="H96" s="14" t="str">
        <x:v>SEOJK 29/2022 VII</x:v>
      </x:c>
      <x:c r="I96" s="14" t="str">
        <x:v>NIST CSF 2.0 DE.CM/ID.IM</x:v>
      </x:c>
      <x:c r="J96" s="14" t="str">
        <x:v>All Commercial Banks</x:v>
      </x:c>
      <x:c r="K96" s="14" t="str">
        <x:v>High</x:v>
      </x:c>
      <x:c r="L96" s="14" t="str">
        <x:v>Not Tested</x:v>
      </x:c>
      <x:c r="M96" s="14" t="str"/>
      <x:c r="N96" s="14" t="str"/>
    </x:row>
    <x:row r="97" ht="66" customHeight="1">
      <x:c r="A97" s="14" t="str">
        <x:v>RS-01</x:v>
      </x:c>
      <x:c r="B97" s="14" t="str">
        <x:v>RS</x:v>
      </x:c>
      <x:c r="C97" s="14" t="str">
        <x:v>Incident Response Plan</x:v>
      </x:c>
      <x:c r="D97" s="14" t="str">
        <x:v>Does the Bank maintain an approved, tested incident-response plan covering cyber incidents, roles, decision rights, evidence, communications, and recovery handoff?</x:v>
      </x:c>
      <x:c r="E97" s="14" t="str">
        <x:v>Apakah Bank memiliki incident response plan yang disetujui dan diuji, mencakup insiden siber, peran, kewenangan keputusan, bukti, komunikasi, dan handoff pemulihan?</x:v>
      </x:c>
      <x:c r="F97" s="14" t="str">
        <x:v>IR plan/playbooks, contact lists, escalation matrix, approvals, exercise evidence.</x:v>
      </x:c>
      <x:c r="G97" s="14" t="str">
        <x:v>Inspect currency and ownership; trace selected recent incident/exercise against plan steps and identify deviations.</x:v>
      </x:c>
      <x:c r="H97" s="14" t="str">
        <x:v>SEOJK 29/2022 IV.5; PADK OJK 1/2026 Lampiran I Bab IV</x:v>
      </x:c>
      <x:c r="I97" s="14" t="str">
        <x:v>NIST CSF 2.0 RS.MA/RS.CO; ISO 27001:2022 5.24-5.28</x:v>
      </x:c>
      <x:c r="J97" s="14" t="str">
        <x:v>All Commercial Banks</x:v>
      </x:c>
      <x:c r="K97" s="14" t="str">
        <x:v>Critical</x:v>
      </x:c>
      <x:c r="L97" s="14" t="str">
        <x:v>Not Tested</x:v>
      </x:c>
      <x:c r="M97" s="14" t="str"/>
      <x:c r="N97" s="14" t="str"/>
    </x:row>
    <x:row r="98" ht="66" customHeight="1">
      <x:c r="A98" s="14" t="str">
        <x:v>RS-02</x:v>
      </x:c>
      <x:c r="B98" s="14" t="str">
        <x:v>RS</x:v>
      </x:c>
      <x:c r="C98" s="14" t="str">
        <x:v>Severity &amp; Ticketing</x:v>
      </x:c>
      <x:c r="D98" s="14" t="str">
        <x:v>Are incidents consistently logged, categorized, prioritized, correlated with relevant logs, and managed through a controlled ticketing/case system?</x:v>
      </x:c>
      <x:c r="E98" s="14" t="str">
        <x:v>Apakah insiden dicatat, dikategorikan, diprioritaskan, dikorelasikan dengan log yang relevan, dan dikelola melalui ticketing/case system yang terkendali?</x:v>
      </x:c>
      <x:c r="F98" s="14" t="str">
        <x:v>Incident taxonomy, severity matrix, ticketing cases, correlation data, SLA.</x:v>
      </x:c>
      <x:c r="G98" s="14" t="str">
        <x:v>Sample incidents across severities; verify classification consistency, timestamps, ownership, evidence and SLA.</x:v>
      </x:c>
      <x:c r="H98" s="14" t="str">
        <x:v>SEOJK 29/2022 maturity controls 4.e; PADK OJK 1/2026 Lampiran I Bab IV</x:v>
      </x:c>
      <x:c r="I98" s="14" t="str">
        <x:v>NIST CSF 2.0 RS.MA/RS.AN</x:v>
      </x:c>
      <x:c r="J98" s="14" t="str">
        <x:v>All Commercial Banks</x:v>
      </x:c>
      <x:c r="K98" s="14" t="str">
        <x:v>High</x:v>
      </x:c>
      <x:c r="L98" s="14" t="str">
        <x:v>Not Tested</x:v>
      </x:c>
      <x:c r="M98" s="14" t="str"/>
      <x:c r="N98" s="14" t="str"/>
    </x:row>
    <x:row r="99" ht="66" customHeight="1">
      <x:c r="A99" s="14" t="str">
        <x:v>RS-03</x:v>
      </x:c>
      <x:c r="B99" s="14" t="str">
        <x:v>RS</x:v>
      </x:c>
      <x:c r="C99" s="14" t="str">
        <x:v>OJK Initial Notification – 24 Hours</x:v>
      </x:c>
      <x:c r="D99" s="14" t="str">
        <x:v>Can the Bank demonstrate that initial notification of a cyber incident to OJK is made no later than 24 hours after the incident becomes known?</x:v>
      </x:c>
      <x:c r="E99" s="14" t="str">
        <x:v>Apakah Bank dapat membuktikan bahwa notifikasi awal insiden siber kepada OJK disampaikan paling lama 24 jam setelah insiden diketahui?</x:v>
      </x:c>
      <x:c r="F99" s="14" t="str">
        <x:v>Incident detection/awareness timestamp, initial notification, transmission/receipt evidence, escalation log.</x:v>
      </x:c>
      <x:c r="G99" s="14" t="str">
        <x:v>For all reportable incidents in scope, compare awareness timestamp to OJK notification and verify receipt evidence.</x:v>
      </x:c>
      <x:c r="H99" s="14" t="str">
        <x:v>SEOJK 29/SEOJK.03/2022 – initial notification requirement</x:v>
      </x:c>
      <x:c r="I99" s="14" t="str">
        <x:v>NIST CSF 2.0 RS.CO</x:v>
      </x:c>
      <x:c r="J99" s="14" t="str">
        <x:v>All Commercial Banks</x:v>
      </x:c>
      <x:c r="K99" s="14" t="str">
        <x:v>Critical</x:v>
      </x:c>
      <x:c r="L99" s="14" t="str">
        <x:v>Not Tested</x:v>
      </x:c>
      <x:c r="M99" s="14" t="str"/>
      <x:c r="N99" s="14" t="str"/>
    </x:row>
    <x:row r="100" ht="66" customHeight="1">
      <x:c r="A100" s="14" t="str">
        <x:v>RS-04</x:v>
      </x:c>
      <x:c r="B100" s="14" t="str">
        <x:v>RS</x:v>
      </x:c>
      <x:c r="C100" s="14" t="str">
        <x:v>OJK Cyber Incident Report – 5 Working Days</x:v>
      </x:c>
      <x:c r="D100" s="14" t="str">
        <x:v>Can the Bank demonstrate that the complete cyber incident report is submitted through OJK's reporting system no later than 5 working days after the incident becomes known?</x:v>
      </x:c>
      <x:c r="E100" s="14" t="str">
        <x:v>Apakah Bank dapat membuktikan bahwa laporan insiden siber lengkap disampaikan melalui sistem pelaporan OJK paling lama 5 hari kerja setelah insiden diketahui?</x:v>
      </x:c>
      <x:c r="F100" s="14" t="str">
        <x:v>Complete OJK incident report, system submission timestamp, supporting investigation, receipt/acknowledgement.</x:v>
      </x:c>
      <x:c r="G100" s="14" t="str">
        <x:v>For reportable incidents, calculate the working-day deadline and compare to actual submission; investigate exceptions.</x:v>
      </x:c>
      <x:c r="H100" s="14" t="str">
        <x:v>SEOJK 29/SEOJK.03/2022 – cyber incident report requirement</x:v>
      </x:c>
      <x:c r="I100" s="14" t="str">
        <x:v>NIST CSF 2.0 RS.CO</x:v>
      </x:c>
      <x:c r="J100" s="14" t="str">
        <x:v>All Commercial Banks</x:v>
      </x:c>
      <x:c r="K100" s="14" t="str">
        <x:v>Critical</x:v>
      </x:c>
      <x:c r="L100" s="14" t="str">
        <x:v>Not Tested</x:v>
      </x:c>
      <x:c r="M100" s="14" t="str"/>
      <x:c r="N100" s="14" t="str"/>
    </x:row>
    <x:row r="101" ht="66" customHeight="1">
      <x:c r="A101" s="14" t="str">
        <x:v>RS-05</x:v>
      </x:c>
      <x:c r="B101" s="14" t="str">
        <x:v>RS</x:v>
      </x:c>
      <x:c r="C101" s="14" t="str">
        <x:v>Incident Report Completeness</x:v>
      </x:c>
      <x:c r="D101" s="14" t="str">
        <x:v>Do cyber incident reports contain sufficient facts on incident type, attack vector, impacted systems/data, impact, chronology, root cause/status, mitigation, and recovery?</x:v>
      </x:c>
      <x:c r="E101" s="14" t="str">
        <x:v>Apakah laporan insiden siber memuat fakta yang memadai mengenai jenis insiden, vektor serangan, sistem/data terdampak, dampak, kronologi, root cause/status, mitigasi, dan pemulihan?</x:v>
      </x:c>
      <x:c r="F101" s="14" t="str">
        <x:v>OJK incident reports, investigation reports, timeline, impacted-asset list, corrective actions.</x:v>
      </x:c>
      <x:c r="G101" s="14" t="str">
        <x:v>Sample reports; reconcile key facts to tickets/logs/forensics and confirm material updates are reflected.</x:v>
      </x:c>
      <x:c r="H101" s="14" t="str">
        <x:v>SEOJK 29/2022 – incident reporting format and controls</x:v>
      </x:c>
      <x:c r="I101" s="14" t="str">
        <x:v>NIST CSF 2.0 RS.AN/RS.CO</x:v>
      </x:c>
      <x:c r="J101" s="14" t="str">
        <x:v>All Commercial Banks</x:v>
      </x:c>
      <x:c r="K101" s="14" t="str">
        <x:v>High</x:v>
      </x:c>
      <x:c r="L101" s="14" t="str">
        <x:v>Not Tested</x:v>
      </x:c>
      <x:c r="M101" s="14" t="str"/>
      <x:c r="N101" s="14" t="str"/>
    </x:row>
    <x:row r="102" ht="66" customHeight="1">
      <x:c r="A102" s="14" t="str">
        <x:v>RS-06</x:v>
      </x:c>
      <x:c r="B102" s="14" t="str">
        <x:v>RS</x:v>
      </x:c>
      <x:c r="C102" s="14" t="str">
        <x:v>Multiple-Regulator Timeline</x:v>
      </x:c>
      <x:c r="D102" s="14" t="str">
        <x:v>Where another authority requires faster cyber-incident notification/reporting, does the Bank meet the faster timeline while still satisfying OJK requirements?</x:v>
      </x:c>
      <x:c r="E102" s="14" t="str">
        <x:v>Jika otoritas lain menetapkan tenggat notifikasi/pelaporan insiden siber yang lebih cepat, apakah Bank memenuhi tenggat yang lebih cepat dengan tetap memenuhi kewajiban OJK?</x:v>
      </x:c>
      <x:c r="F102" s="14" t="str">
        <x:v>Regulatory reporting matrix, BI/other authority requirements, multi-regulator incident timeline, submissions.</x:v>
      </x:c>
      <x:c r="G102" s="14" t="str">
        <x:v>Sample multi-regulator incidents; compare each required deadline and verify coordinated submission/escalation.</x:v>
      </x:c>
      <x:c r="H102" s="14" t="str">
        <x:v>SEOJK 29/2022 IX.7; applicable BI/sector rules</x:v>
      </x:c>
      <x:c r="I102" s="14" t="str">
        <x:v>NIST CSF 2.0 RS.CO/GV.OC</x:v>
      </x:c>
      <x:c r="J102" s="14" t="str">
        <x:v>Conditional – Multiple regulators</x:v>
      </x:c>
      <x:c r="K102" s="14" t="str">
        <x:v>Critical</x:v>
      </x:c>
      <x:c r="L102" s="14" t="str">
        <x:v>Not Tested</x:v>
      </x:c>
      <x:c r="M102" s="14" t="str"/>
      <x:c r="N102" s="14" t="str"/>
    </x:row>
    <x:row r="103" ht="66" customHeight="1">
      <x:c r="A103" s="14" t="str">
        <x:v>RS-07</x:v>
      </x:c>
      <x:c r="B103" s="14" t="str">
        <x:v>RS</x:v>
      </x:c>
      <x:c r="C103" s="14" t="str">
        <x:v>Personal Data Breach Notification</x:v>
      </x:c>
      <x:c r="D103" s="14" t="str">
        <x:v>Can the Bank identify personal-data breaches and provide required written notifications within the applicable legal timeframe, including at least 3 x 24 hours under the PDP Law?</x:v>
      </x:c>
      <x:c r="E103" s="14" t="str">
        <x:v>Apakah Bank dapat mengidentifikasi kegagalan pelindungan data pribadi dan menyampaikan pemberitahuan tertulis dalam tenggat hukum yang berlaku, termasuk paling lambat 3 x 24 jam berdasarkan UU PDP?</x:v>
      </x:c>
      <x:c r="F103" s="14" t="str">
        <x:v>Privacy-breach procedure, breach assessment, notifications to data subjects/authority as applicable, timestamps.</x:v>
      </x:c>
      <x:c r="G103" s="14" t="str">
        <x:v>Sample personal-data breaches/near misses; verify classification, clock start, notification content and timing.</x:v>
      </x:c>
      <x:c r="H103" s="14" t="str">
        <x:v>UU 27/2022 Pasal 46; PADK OJK 1/2026 Lampiran I Bab VII</x:v>
      </x:c>
      <x:c r="I103" s="14" t="str">
        <x:v>NIST CSF 2.0 RS.CO/RS.MA</x:v>
      </x:c>
      <x:c r="J103" s="14" t="str">
        <x:v>All Commercial Banks</x:v>
      </x:c>
      <x:c r="K103" s="14" t="str">
        <x:v>Critical</x:v>
      </x:c>
      <x:c r="L103" s="14" t="str">
        <x:v>Not Tested</x:v>
      </x:c>
      <x:c r="M103" s="14" t="str"/>
      <x:c r="N103" s="14" t="str"/>
    </x:row>
    <x:row r="104" ht="66" customHeight="1">
      <x:c r="A104" s="14" t="str">
        <x:v>RS-08</x:v>
      </x:c>
      <x:c r="B104" s="14" t="str">
        <x:v>RS</x:v>
      </x:c>
      <x:c r="C104" s="14" t="str">
        <x:v>Executive Escalation</x:v>
      </x:c>
      <x:c r="D104" s="14" t="str">
        <x:v>Are material cyber incidents escalated to executives, Directors, and Commissioners according to impact and criticality thresholds?</x:v>
      </x:c>
      <x:c r="E104" s="14" t="str">
        <x:v>Apakah insiden siber material dieskalasi kepada pejabat eksekutif, Direksi, dan Dewan Komisaris sesuai threshold dampak dan kritikalitas?</x:v>
      </x:c>
      <x:c r="F104" s="14" t="str">
        <x:v>Escalation matrix, incident timeline, management notifications, board communications.</x:v>
      </x:c>
      <x:c r="G104" s="14" t="str">
        <x:v>Sample high-severity incidents; compare actual escalation timestamps/recipients to procedure.</x:v>
      </x:c>
      <x:c r="H104" s="14" t="str">
        <x:v>SEOJK 29/2022 maturity controls 4.e</x:v>
      </x:c>
      <x:c r="I104" s="14" t="str">
        <x:v>NIST CSF 2.0 RS.MA/RS.CO</x:v>
      </x:c>
      <x:c r="J104" s="14" t="str">
        <x:v>All Commercial Banks</x:v>
      </x:c>
      <x:c r="K104" s="14" t="str">
        <x:v>High</x:v>
      </x:c>
      <x:c r="L104" s="14" t="str">
        <x:v>Not Tested</x:v>
      </x:c>
      <x:c r="M104" s="14" t="str"/>
      <x:c r="N104" s="14" t="str"/>
    </x:row>
    <x:row r="105" ht="66" customHeight="1">
      <x:c r="A105" s="14" t="str">
        <x:v>RS-09</x:v>
      </x:c>
      <x:c r="B105" s="14" t="str">
        <x:v>RS</x:v>
      </x:c>
      <x:c r="C105" s="14" t="str">
        <x:v>Customer &amp; Public Communication</x:v>
      </x:c>
      <x:c r="D105" s="14" t="str">
        <x:v>Are customer, partner, media, and public communications during significant incidents timely, accurate, approved, and coordinated with legal/regulatory obligations?</x:v>
      </x:c>
      <x:c r="E105" s="14" t="str">
        <x:v>Apakah komunikasi kepada nasabah, mitra, media, dan publik saat insiden signifikan dilakukan tepat waktu, akurat, disetujui, dan terkoordinasi dengan kewajiban hukum/regulasi?</x:v>
      </x:c>
      <x:c r="F105" s="14" t="str">
        <x:v>Communication playbook, templates, approvals, customer notices, media statements, call-center scripts.</x:v>
      </x:c>
      <x:c r="G105" s="14" t="str">
        <x:v>Sample significant incidents/exercises; assess timeliness, consistency and approval trail.</x:v>
      </x:c>
      <x:c r="H105" s="14" t="str">
        <x:v>SEOJK 29/2022 maturity controls 4.e; POJK 22/2023</x:v>
      </x:c>
      <x:c r="I105" s="14" t="str">
        <x:v>NIST CSF 2.0 RS.CO</x:v>
      </x:c>
      <x:c r="J105" s="14" t="str">
        <x:v>All Commercial Banks</x:v>
      </x:c>
      <x:c r="K105" s="14" t="str">
        <x:v>High</x:v>
      </x:c>
      <x:c r="L105" s="14" t="str">
        <x:v>Not Tested</x:v>
      </x:c>
      <x:c r="M105" s="14" t="str"/>
      <x:c r="N105" s="14" t="str"/>
    </x:row>
    <x:row r="106" ht="66" customHeight="1">
      <x:c r="A106" s="14" t="str">
        <x:v>RS-10</x:v>
      </x:c>
      <x:c r="B106" s="14" t="str">
        <x:v>RS</x:v>
      </x:c>
      <x:c r="C106" s="14" t="str">
        <x:v>Regulator &amp; CSIRT Coordination</x:v>
      </x:c>
      <x:c r="D106" s="14" t="str">
        <x:v>Are procedures established for coordinated incident handling and information sharing with OJK, BI where applicable, BSSN/CSIRT, law enforcement, and relevant sector parties?</x:v>
      </x:c>
      <x:c r="E106" s="14" t="str">
        <x:v>Apakah terdapat prosedur koordinasi penanganan insiden dan pertukaran informasi dengan OJK, BI jika berlaku, BSSN/CSIRT, aparat penegak hukum, dan pihak sektor terkait?</x:v>
      </x:c>
      <x:c r="F106" s="14" t="str">
        <x:v>Contact matrix, coordination procedures, information-sharing records, exercise evidence.</x:v>
      </x:c>
      <x:c r="G106" s="14" t="str">
        <x:v>Review selected incidents/exercises; verify contacts, approvals, secure information sharing and decisions.</x:v>
      </x:c>
      <x:c r="H106" s="14" t="str">
        <x:v>SEOJK 29/2022 IV/VIII/IX; PBI 2/2024 where applicable</x:v>
      </x:c>
      <x:c r="I106" s="14" t="str">
        <x:v>NIST CSF 2.0 RS.CO</x:v>
      </x:c>
      <x:c r="J106" s="14" t="str">
        <x:v>All Commercial Banks / conditional BI coordination</x:v>
      </x:c>
      <x:c r="K106" s="14" t="str">
        <x:v>Medium</x:v>
      </x:c>
      <x:c r="L106" s="14" t="str">
        <x:v>Not Tested</x:v>
      </x:c>
      <x:c r="M106" s="14" t="str"/>
      <x:c r="N106" s="14" t="str"/>
    </x:row>
    <x:row r="107" ht="66" customHeight="1">
      <x:c r="A107" s="14" t="str">
        <x:v>RS-11</x:v>
      </x:c>
      <x:c r="B107" s="14" t="str">
        <x:v>RS</x:v>
      </x:c>
      <x:c r="C107" s="14" t="str">
        <x:v>Digital Forensics</x:v>
      </x:c>
      <x:c r="D107" s="14" t="str">
        <x:v>Can the Bank preserve, acquire, analyze, and protect digital evidence using documented chain-of-custody and competent forensic capability?</x:v>
      </x:c>
      <x:c r="E107" s="14" t="str">
        <x:v>Apakah Bank mampu memelihara, memperoleh, menganalisis, dan melindungi bukti digital dengan chain-of-custody terdokumentasi serta kapabilitas forensik yang kompeten?</x:v>
      </x:c>
      <x:c r="F107" s="14" t="str">
        <x:v>Forensic procedure, tool list, chain-of-custody forms, forensic reports, retained evidence.</x:v>
      </x:c>
      <x:c r="G107" s="14" t="str">
        <x:v>Sample incidents requiring forensics; inspect evidence integrity, timestamps, custody and analyst competence.</x:v>
      </x:c>
      <x:c r="H107" s="14" t="str">
        <x:v>SEOJK 29/2022 maturity controls 4.c; PADK OJK 1/2026 Lampiran I Bab IV</x:v>
      </x:c>
      <x:c r="I107" s="14" t="str">
        <x:v>NIST CSF 2.0 RS.AN; ISO 27001:2022 5.28</x:v>
      </x:c>
      <x:c r="J107" s="14" t="str">
        <x:v>All Commercial Banks</x:v>
      </x:c>
      <x:c r="K107" s="14" t="str">
        <x:v>High</x:v>
      </x:c>
      <x:c r="L107" s="14" t="str">
        <x:v>Not Tested</x:v>
      </x:c>
      <x:c r="M107" s="14" t="str"/>
      <x:c r="N107" s="14" t="str"/>
    </x:row>
    <x:row r="108" ht="66" customHeight="1">
      <x:c r="A108" s="14" t="str">
        <x:v>RS-12</x:v>
      </x:c>
      <x:c r="B108" s="14" t="str">
        <x:v>RS</x:v>
      </x:c>
      <x:c r="C108" s="14" t="str">
        <x:v>Ransomware Response</x:v>
      </x:c>
      <x:c r="D108" s="14" t="str">
        <x:v>Does the Bank maintain and test a ransomware playbook covering containment, identity reset, backup protection, forensics, extortion decisions, communications, and recovery?</x:v>
      </x:c>
      <x:c r="E108" s="14" t="str">
        <x:v>Apakah Bank memiliki dan menguji ransomware playbook yang mencakup containment, reset identitas, perlindungan backup, forensik, keputusan terkait pemerasan, komunikasi, dan pemulihan?</x:v>
      </x:c>
      <x:c r="F108" s="14" t="str">
        <x:v>Ransomware playbook, exercise results, backup dependencies, decision/escalation framework.</x:v>
      </x:c>
      <x:c r="G108" s="14" t="str">
        <x:v>Walk through a recent exercise/incident; verify containment and clean-recovery decision points are practical.</x:v>
      </x:c>
      <x:c r="H108" s="14" t="str">
        <x:v>SEOJK 29/2022 IV/VII; PADK OJK 1/2026 Lampiran I Bab IV</x:v>
      </x:c>
      <x:c r="I108" s="14" t="str">
        <x:v>NIST CSF 2.0 RS.MA/RS.MI/RC.RP</x:v>
      </x:c>
      <x:c r="J108" s="14" t="str">
        <x:v>All Commercial Banks</x:v>
      </x:c>
      <x:c r="K108" s="14" t="str">
        <x:v>Critical</x:v>
      </x:c>
      <x:c r="L108" s="14" t="str">
        <x:v>Not Tested</x:v>
      </x:c>
      <x:c r="M108" s="14" t="str"/>
      <x:c r="N108" s="14" t="str"/>
    </x:row>
    <x:row r="109" ht="66" customHeight="1">
      <x:c r="A109" s="14" t="str">
        <x:v>RS-13</x:v>
      </x:c>
      <x:c r="B109" s="14" t="str">
        <x:v>RS</x:v>
      </x:c>
      <x:c r="C109" s="14" t="str">
        <x:v>DDoS &amp; Digital-Channel Response</x:v>
      </x:c>
      <x:c r="D109" s="14" t="str">
        <x:v>Are DDoS, bot, API abuse, credential-stuffing, and digital-channel disruption playbooks tested with network, application, fraud, and vendor teams?</x:v>
      </x:c>
      <x:c r="E109" s="14" t="str">
        <x:v>Apakah playbook DDoS, bot, API abuse, credential stuffing, dan gangguan kanal digital diuji bersama tim jaringan, aplikasi, fraud, dan vendor?</x:v>
      </x:c>
      <x:c r="F109" s="14" t="str">
        <x:v>Playbooks, DDoS provider procedures, WAF/API controls, exercise or incident records.</x:v>
      </x:c>
      <x:c r="G109" s="14" t="str">
        <x:v>Sample a scenario; verify detection-to-mitigation SLA, provider contacts, capacity and customer communication.</x:v>
      </x:c>
      <x:c r="H109" s="14" t="str">
        <x:v>SEOJK 29/2022 IV/VII; POJK 21/2023 where applicable</x:v>
      </x:c>
      <x:c r="I109" s="14" t="str">
        <x:v>NIST CSF 2.0 RS.MA/RS.MI</x:v>
      </x:c>
      <x:c r="J109" s="14" t="str">
        <x:v>Conditional – Digital Services</x:v>
      </x:c>
      <x:c r="K109" s="14" t="str">
        <x:v>Critical</x:v>
      </x:c>
      <x:c r="L109" s="14" t="str">
        <x:v>Not Tested</x:v>
      </x:c>
      <x:c r="M109" s="14" t="str"/>
      <x:c r="N109" s="14" t="str"/>
    </x:row>
    <x:row r="110" ht="66" customHeight="1">
      <x:c r="A110" s="14" t="str">
        <x:v>RS-14</x:v>
      </x:c>
      <x:c r="B110" s="14" t="str">
        <x:v>RS</x:v>
      </x:c>
      <x:c r="C110" s="14" t="str">
        <x:v>Third-Party Incident Response</x:v>
      </x:c>
      <x:c r="D110" s="14" t="str">
        <x:v>Do critical providers have contractual and operational obligations for prompt incident notification, cooperation, evidence preservation, recovery, and post-incident remediation?</x:v>
      </x:c>
      <x:c r="E110" s="14" t="str">
        <x:v>Apakah penyedia jasa kritikal memiliki kewajiban kontraktual dan operasional untuk notifikasi insiden segera, kerja sama, preservasi bukti, pemulihan, dan remediasi pascainsiden?</x:v>
      </x:c>
      <x:c r="F110" s="14" t="str">
        <x:v>Contracts, vendor incident clauses, contact trees, provider incident reports, joint exercises.</x:v>
      </x:c>
      <x:c r="G110" s="14" t="str">
        <x:v>Sample vendor incidents; compare notification and cooperation to contract/SLA; inspect Bank oversight and follow-up.</x:v>
      </x:c>
      <x:c r="H110" s="14" t="str">
        <x:v>PADK OJK 1/2026 Lampiran I Bab V; SEOJK 29/2022 IV</x:v>
      </x:c>
      <x:c r="I110" s="14" t="str">
        <x:v>NIST CSF 2.0 GV.SC/RS.CO/RS.MA</x:v>
      </x:c>
      <x:c r="J110" s="14" t="str">
        <x:v>All Commercial Banks</x:v>
      </x:c>
      <x:c r="K110" s="14" t="str">
        <x:v>High</x:v>
      </x:c>
      <x:c r="L110" s="14" t="str">
        <x:v>Not Tested</x:v>
      </x:c>
      <x:c r="M110" s="14" t="str"/>
      <x:c r="N110" s="14" t="str"/>
    </x:row>
    <x:row r="111" ht="66" customHeight="1">
      <x:c r="A111" s="14" t="str">
        <x:v>RS-15</x:v>
      </x:c>
      <x:c r="B111" s="14" t="str">
        <x:v>RS</x:v>
      </x:c>
      <x:c r="C111" s="14" t="str">
        <x:v>Scenario-Based Cyber Test Reporting</x:v>
      </x:c>
      <x:c r="D111" s="14" t="str">
        <x:v>For scenario-based cyber security testing that is reportable to OJK, are results submitted no later than 10 working days after the testing is considered completed (when the test report is finished)?</x:v>
      </x:c>
      <x:c r="E111" s="14" t="str">
        <x:v>Untuk pengujian keamanan siber berbasis skenario yang wajib dilaporkan ke OJK, apakah hasil disampaikan paling lama 10 hari kerja setelah pengujian dianggap selesai, yaitu saat laporan hasil pengujian selesai disusun?</x:v>
      </x:c>
      <x:c r="F111" s="14" t="str">
        <x:v>Scenario-based test report, completion date, OJK submission, lessons learned, remediation plan.</x:v>
      </x:c>
      <x:c r="G111" s="14" t="str">
        <x:v>For reportable tests, compare final-report completion date to OJK submission date and inspect required content.</x:v>
      </x:c>
      <x:c r="H111" s="14" t="str">
        <x:v>SEOJK 29/2022 VII</x:v>
      </x:c>
      <x:c r="I111" s="14" t="str">
        <x:v>NIST CSF 2.0 ID.IM/RS.MA</x:v>
      </x:c>
      <x:c r="J111" s="14" t="str">
        <x:v>All Commercial Banks</x:v>
      </x:c>
      <x:c r="K111" s="14" t="str">
        <x:v>High</x:v>
      </x:c>
      <x:c r="L111" s="14" t="str">
        <x:v>Not Tested</x:v>
      </x:c>
      <x:c r="M111" s="14" t="str"/>
      <x:c r="N111" s="14" t="str"/>
    </x:row>
    <x:row r="112" ht="66" customHeight="1">
      <x:c r="A112" s="14" t="str">
        <x:v>RS-16</x:v>
      </x:c>
      <x:c r="B112" s="14" t="str">
        <x:v>RS</x:v>
      </x:c>
      <x:c r="C112" s="14" t="str">
        <x:v>BI KKS Incident Handling</x:v>
      </x:c>
      <x:c r="D112" s="14" t="str">
        <x:v>Where BI KKS rules apply, are BI-specific cyber incident handling, simulation, reporting, and collaboration obligations integrated with the Bank's response process?</x:v>
      </x:c>
      <x:c r="E112" s="14" t="str">
        <x:v>Jika ketentuan KKS BI berlaku, apakah kewajiban penanganan insiden siber, simulasi, pelaporan, dan kolaborasi BI diintegrasikan ke proses respons Bank?</x:v>
      </x:c>
      <x:c r="F112" s="14" t="str">
        <x:v>BI KKS procedures, simulations, report calendar, BI communications, action tracking.</x:v>
      </x:c>
      <x:c r="G112" s="14" t="str">
        <x:v>Confirm applicability; sample BI-relevant incident/exercise and verify required steps and reporting.</x:v>
      </x:c>
      <x:c r="H112" s="14" t="str">
        <x:v>PBI 2/2024; PADG 24/2024</x:v>
      </x:c>
      <x:c r="I112" s="14" t="str">
        <x:v>NIST CSF 2.0 RS.*</x:v>
      </x:c>
      <x:c r="J112" s="14" t="str">
        <x:v>Conditional – BI-regulated / payment-system activities</x:v>
      </x:c>
      <x:c r="K112" s="14" t="str">
        <x:v>High</x:v>
      </x:c>
      <x:c r="L112" s="14" t="str">
        <x:v>Not Tested</x:v>
      </x:c>
      <x:c r="M112" s="14" t="str"/>
      <x:c r="N112" s="14" t="str"/>
    </x:row>
    <x:row r="113" ht="66" customHeight="1">
      <x:c r="A113" s="14" t="str">
        <x:v>RC-01</x:v>
      </x:c>
      <x:c r="B113" s="14" t="str">
        <x:v>RC</x:v>
      </x:c>
      <x:c r="C113" s="14" t="str">
        <x:v>Disaster Recovery Plan</x:v>
      </x:c>
      <x:c r="D113" s="14" t="str">
        <x:v>Is the disaster recovery plan current, approved, scenario-based, and aligned with critical business services and the BIA?</x:v>
      </x:c>
      <x:c r="E113" s="14" t="str">
        <x:v>Apakah disaster recovery plan mutakhir, disetujui, berbasis skenario, dan selaras dengan layanan bisnis kritikal serta BIA?</x:v>
      </x:c>
      <x:c r="F113" s="14" t="str">
        <x:v>DR plan, service/application scope, dependencies, contacts, recovery procedures, approvals.</x:v>
      </x:c>
      <x:c r="G113" s="14" t="str">
        <x:v>Select critical services; trace BIA requirements to DR procedures, dependencies and recovery sequence.</x:v>
      </x:c>
      <x:c r="H113" s="14" t="str">
        <x:v>PADK OJK 1/2026 Lampiran I Bab IV; SEOJK 29/2022 IV</x:v>
      </x:c>
      <x:c r="I113" s="14" t="str">
        <x:v>NIST CSF 2.0 RC.RP/PR.IR; ISO 22301</x:v>
      </x:c>
      <x:c r="J113" s="14" t="str">
        <x:v>All Commercial Banks</x:v>
      </x:c>
      <x:c r="K113" s="14" t="str">
        <x:v>Critical</x:v>
      </x:c>
      <x:c r="L113" s="14" t="str">
        <x:v>Not Tested</x:v>
      </x:c>
      <x:c r="M113" s="14" t="str"/>
      <x:c r="N113" s="14" t="str"/>
    </x:row>
    <x:row r="114" ht="66" customHeight="1">
      <x:c r="A114" s="14" t="str">
        <x:v>RC-02</x:v>
      </x:c>
      <x:c r="B114" s="14" t="str">
        <x:v>RC</x:v>
      </x:c>
      <x:c r="C114" s="14" t="str">
        <x:v>DR Site Resilience</x:v>
      </x:c>
      <x:c r="D114" s="14" t="str">
        <x:v>Does the recovery architecture avoid common-mode failures through appropriate geographic, power, network, cloud-region, identity, and operational separation?</x:v>
      </x:c>
      <x:c r="E114" s="14" t="str">
        <x:v>Apakah arsitektur pemulihan menghindari common-mode failure melalui pemisahan geografis, listrik, jaringan, region cloud, identitas, dan operasional yang memadai?</x:v>
      </x:c>
      <x:c r="F114" s="14" t="str">
        <x:v>DC/DRC/cloud architecture, dependency maps, power/telco diversity, region/account separation.</x:v>
      </x:c>
      <x:c r="G114" s="14" t="str">
        <x:v>Assess common dependencies between primary and recovery environments; test claimed diversity with provider evidence.</x:v>
      </x:c>
      <x:c r="H114" s="14" t="str">
        <x:v>PADK OJK 1/2026 Lampiran I Bab IV</x:v>
      </x:c>
      <x:c r="I114" s="14" t="str">
        <x:v>NIST CSF 2.0 PR.IR/RC.RP</x:v>
      </x:c>
      <x:c r="J114" s="14" t="str">
        <x:v>All Commercial Banks</x:v>
      </x:c>
      <x:c r="K114" s="14" t="str">
        <x:v>Critical</x:v>
      </x:c>
      <x:c r="L114" s="14" t="str">
        <x:v>Not Tested</x:v>
      </x:c>
      <x:c r="M114" s="14" t="str"/>
      <x:c r="N114" s="14" t="str"/>
    </x:row>
    <x:row r="115" ht="66" customHeight="1">
      <x:c r="A115" s="14" t="str">
        <x:v>RC-03</x:v>
      </x:c>
      <x:c r="B115" s="14" t="str">
        <x:v>RC</x:v>
      </x:c>
      <x:c r="C115" s="14" t="str">
        <x:v>RTO/RPO Achievement</x:v>
      </x:c>
      <x:c r="D115" s="14" t="str">
        <x:v>Can the Bank demonstrate that actual recovery performance for critical services meets approved RTO and RPO targets?</x:v>
      </x:c>
      <x:c r="E115" s="14" t="str">
        <x:v>Apakah Bank dapat membuktikan bahwa kinerja pemulihan aktual untuk layanan kritikal memenuhi target RTO dan RPO yang disetujui?</x:v>
      </x:c>
      <x:c r="F115" s="14" t="str">
        <x:v>DR test timestamps, recovery checkpoints, replication status, RTO/RPO results and exceptions.</x:v>
      </x:c>
      <x:c r="G115" s="14" t="str">
        <x:v>Recalculate RTO/RPO from test/incident logs; compare with BIA targets; inspect breaches and remediation.</x:v>
      </x:c>
      <x:c r="H115" s="14" t="str">
        <x:v>PADK OJK 1/2026 Lampiran I Bab IV</x:v>
      </x:c>
      <x:c r="I115" s="14" t="str">
        <x:v>NIST CSF 2.0 RC.RP/PR.IR</x:v>
      </x:c>
      <x:c r="J115" s="14" t="str">
        <x:v>All Commercial Banks</x:v>
      </x:c>
      <x:c r="K115" s="14" t="str">
        <x:v>Critical</x:v>
      </x:c>
      <x:c r="L115" s="14" t="str">
        <x:v>Not Tested</x:v>
      </x:c>
      <x:c r="M115" s="14" t="str"/>
      <x:c r="N115" s="14" t="str"/>
    </x:row>
    <x:row r="116" ht="66" customHeight="1">
      <x:c r="A116" s="14" t="str">
        <x:v>RC-04</x:v>
      </x:c>
      <x:c r="B116" s="14" t="str">
        <x:v>RC</x:v>
      </x:c>
      <x:c r="C116" s="14" t="str">
        <x:v>Realistic DR Testing</x:v>
      </x:c>
      <x:c r="D116" s="14" t="str">
        <x:v>Are DR tests sufficiently realistic, covering people, technology, data, third parties, failover, failback, capacity, and business validation?</x:v>
      </x:c>
      <x:c r="E116" s="14" t="str">
        <x:v>Apakah pengujian DR cukup realistis dan mencakup SDM, teknologi, data, pihak ketiga, failover, failback, kapasitas, serta validasi bisnis?</x:v>
      </x:c>
      <x:c r="F116" s="14" t="str">
        <x:v>Annual test plan, scenarios, scripts, participation, issues, business sign-off.</x:v>
      </x:c>
      <x:c r="G116" s="14" t="str">
        <x:v>Review most recent critical tests; assess whether they were production-like and whether known limitations were transparently recorded.</x:v>
      </x:c>
      <x:c r="H116" s="14" t="str">
        <x:v>PADK OJK 1/2026 Lampiran I Bab IV; SEOJK 29/2022 IV</x:v>
      </x:c>
      <x:c r="I116" s="14" t="str">
        <x:v>NIST CSF 2.0 RC.RP/ID.IM</x:v>
      </x:c>
      <x:c r="J116" s="14" t="str">
        <x:v>All Commercial Banks</x:v>
      </x:c>
      <x:c r="K116" s="14" t="str">
        <x:v>High</x:v>
      </x:c>
      <x:c r="L116" s="14" t="str">
        <x:v>Not Tested</x:v>
      </x:c>
      <x:c r="M116" s="14" t="str"/>
      <x:c r="N116" s="14" t="str"/>
    </x:row>
    <x:row r="117" ht="66" customHeight="1">
      <x:c r="A117" s="14" t="str">
        <x:v>RC-05</x:v>
      </x:c>
      <x:c r="B117" s="14" t="str">
        <x:v>RC</x:v>
      </x:c>
      <x:c r="C117" s="14" t="str">
        <x:v>Backup Restore Testing</x:v>
      </x:c>
      <x:c r="D117" s="14" t="str">
        <x:v>Are backup restores tested periodically for critical systems and data, including integrity, completeness, credentials, keys, and recovery time?</x:v>
      </x:c>
      <x:c r="E117" s="14" t="str">
        <x:v>Apakah restore backup diuji secara berkala untuk sistem dan data kritikal termasuk integritas, kelengkapan, credential, key, dan waktu pemulihan?</x:v>
      </x:c>
      <x:c r="F117" s="14" t="str">
        <x:v>Restore-test schedule/results, data validation, key/credential dependencies, failed restore actions.</x:v>
      </x:c>
      <x:c r="G117" s="14" t="str">
        <x:v>Sample critical systems; inspect successful restore evidence and independently validate selected files/data where feasible.</x:v>
      </x:c>
      <x:c r="H117" s="14" t="str">
        <x:v>PADK OJK 1/2026 Lampiran I Bab IV</x:v>
      </x:c>
      <x:c r="I117" s="14" t="str">
        <x:v>NIST CSF 2.0 RC.RP; CIS v8.1 Control 11</x:v>
      </x:c>
      <x:c r="J117" s="14" t="str">
        <x:v>All Commercial Banks</x:v>
      </x:c>
      <x:c r="K117" s="14" t="str">
        <x:v>Critical</x:v>
      </x:c>
      <x:c r="L117" s="14" t="str">
        <x:v>Not Tested</x:v>
      </x:c>
      <x:c r="M117" s="14" t="str"/>
      <x:c r="N117" s="14" t="str"/>
    </x:row>
    <x:row r="118" ht="66" customHeight="1">
      <x:c r="A118" s="14" t="str">
        <x:v>RC-06</x:v>
      </x:c>
      <x:c r="B118" s="14" t="str">
        <x:v>RC</x:v>
      </x:c>
      <x:c r="C118" s="14" t="str">
        <x:v>Clean Ransomware Recovery</x:v>
      </x:c>
      <x:c r="D118" s="14" t="str">
        <x:v>Can the Bank recover from ransomware into a trusted environment without reintroducing compromised identities, malware, or corrupted data?</x:v>
      </x:c>
      <x:c r="E118" s="14" t="str">
        <x:v>Apakah Bank dapat pulih dari ransomware ke environment yang trusted tanpa memasukkan kembali identitas yang compromised, malware, atau data korup?</x:v>
      </x:c>
      <x:c r="F118" s="14" t="str">
        <x:v>Clean-room recovery design, golden images, credential reset plan, malware validation, immutable backups.</x:v>
      </x:c>
      <x:c r="G118" s="14" t="str">
        <x:v>Review ransomware recovery exercise; verify clean-build, identity reset, validation gates and prioritization.</x:v>
      </x:c>
      <x:c r="H118" s="14" t="str">
        <x:v>SEOJK 29/2022 IV/VII; PADK OJK 1/2026 Lampiran I Bab IV</x:v>
      </x:c>
      <x:c r="I118" s="14" t="str">
        <x:v>NIST CSF 2.0 RC.RP/RS.MI</x:v>
      </x:c>
      <x:c r="J118" s="14" t="str">
        <x:v>All Commercial Banks</x:v>
      </x:c>
      <x:c r="K118" s="14" t="str">
        <x:v>Critical</x:v>
      </x:c>
      <x:c r="L118" s="14" t="str">
        <x:v>Not Tested</x:v>
      </x:c>
      <x:c r="M118" s="14" t="str"/>
      <x:c r="N118" s="14" t="str"/>
    </x:row>
    <x:row r="119" ht="66" customHeight="1">
      <x:c r="A119" s="14" t="str">
        <x:v>RC-07</x:v>
      </x:c>
      <x:c r="B119" s="14" t="str">
        <x:v>RC</x:v>
      </x:c>
      <x:c r="C119" s="14" t="str">
        <x:v>Crisis Management Integration</x:v>
      </x:c>
      <x:c r="D119" s="14" t="str">
        <x:v>Is cyber recovery integrated with enterprise crisis management, business continuity, executive decision-making, and regulatory communication?</x:v>
      </x:c>
      <x:c r="E119" s="14" t="str">
        <x:v>Apakah pemulihan siber terintegrasi dengan crisis management, business continuity, pengambilan keputusan eksekutif, dan komunikasi regulator?</x:v>
      </x:c>
      <x:c r="F119" s="14" t="str">
        <x:v>Crisis plan, BCP/DR integration, crisis-team roster, decision logs, exercise records.</x:v>
      </x:c>
      <x:c r="G119" s="14" t="str">
        <x:v>Sample major exercise/incident; trace handoffs between cyber, business continuity, crisis team and executive governance.</x:v>
      </x:c>
      <x:c r="H119" s="14" t="str">
        <x:v>SEOJK 29/2022 maturity controls 4.a; PADK OJK 1/2026 Lampiran I Bab IV</x:v>
      </x:c>
      <x:c r="I119" s="14" t="str">
        <x:v>NIST CSF 2.0 RC.RP/RC.CO</x:v>
      </x:c>
      <x:c r="J119" s="14" t="str">
        <x:v>All Commercial Banks</x:v>
      </x:c>
      <x:c r="K119" s="14" t="str">
        <x:v>High</x:v>
      </x:c>
      <x:c r="L119" s="14" t="str">
        <x:v>Not Tested</x:v>
      </x:c>
      <x:c r="M119" s="14" t="str"/>
      <x:c r="N119" s="14" t="str"/>
    </x:row>
    <x:row r="120" ht="66" customHeight="1">
      <x:c r="A120" s="14" t="str">
        <x:v>RC-08</x:v>
      </x:c>
      <x:c r="B120" s="14" t="str">
        <x:v>RC</x:v>
      </x:c>
      <x:c r="C120" s="14" t="str">
        <x:v>Alternate Communications</x:v>
      </x:c>
      <x:c r="D120" s="14" t="str">
        <x:v>Are resilient out-of-band communication channels available and tested for use when primary email, collaboration, identity, or network services are unavailable?</x:v>
      </x:c>
      <x:c r="E120" s="14" t="str">
        <x:v>Apakah tersedia kanal komunikasi out-of-band yang resilient dan telah diuji ketika email, collaboration, identity, atau jaringan utama tidak tersedia?</x:v>
      </x:c>
      <x:c r="F120" s="14" t="str">
        <x:v>Crisis communication tools, contact lists, offline copies, test evidence.</x:v>
      </x:c>
      <x:c r="G120" s="14" t="str">
        <x:v>Test access to alternate channels and contact data; verify independence from primary identity/network dependencies.</x:v>
      </x:c>
      <x:c r="H120" s="14" t="str">
        <x:v>PADK OJK 1/2026 Lampiran I Bab IV; SEOJK 29/2022 IV</x:v>
      </x:c>
      <x:c r="I120" s="14" t="str">
        <x:v>NIST CSF 2.0 RC.CO/PR.IR</x:v>
      </x:c>
      <x:c r="J120" s="14" t="str">
        <x:v>All Commercial Banks</x:v>
      </x:c>
      <x:c r="K120" s="14" t="str">
        <x:v>High</x:v>
      </x:c>
      <x:c r="L120" s="14" t="str">
        <x:v>Not Tested</x:v>
      </x:c>
      <x:c r="M120" s="14" t="str"/>
      <x:c r="N120" s="14" t="str"/>
    </x:row>
    <x:row r="121" ht="66" customHeight="1">
      <x:c r="A121" s="14" t="str">
        <x:v>RC-09</x:v>
      </x:c>
      <x:c r="B121" s="14" t="str">
        <x:v>RC</x:v>
      </x:c>
      <x:c r="C121" s="14" t="str">
        <x:v>Vendor Recovery Dependency</x:v>
      </x:c>
      <x:c r="D121" s="14" t="str">
        <x:v>Are recovery dependencies on critical vendors tested and supported by credible provider RTO/RPO, capacity, escalation, and alternate arrangements?</x:v>
      </x:c>
      <x:c r="E121" s="14" t="str">
        <x:v>Apakah ketergantungan pemulihan pada vendor kritikal diuji dan didukung RTO/RPO, kapasitas, eskalasi, serta alternatif yang kredibel?</x:v>
      </x:c>
      <x:c r="F121" s="14" t="str">
        <x:v>Vendor BCP/DR evidence, joint test results, RTO/RPO commitments, alternate/exit plan.</x:v>
      </x:c>
      <x:c r="G121" s="14" t="str">
        <x:v>Sample critical vendors; compare contractual recovery commitments to Bank BIA; inspect joint-test evidence.</x:v>
      </x:c>
      <x:c r="H121" s="14" t="str">
        <x:v>PADK OJK 1/2026 Lampiran I Bab V</x:v>
      </x:c>
      <x:c r="I121" s="14" t="str">
        <x:v>NIST CSF 2.0 GV.SC/RC.RP</x:v>
      </x:c>
      <x:c r="J121" s="14" t="str">
        <x:v>All Commercial Banks</x:v>
      </x:c>
      <x:c r="K121" s="14" t="str">
        <x:v>High</x:v>
      </x:c>
      <x:c r="L121" s="14" t="str">
        <x:v>Not Tested</x:v>
      </x:c>
      <x:c r="M121" s="14" t="str"/>
      <x:c r="N121" s="14" t="str"/>
    </x:row>
    <x:row r="122" ht="66" customHeight="1">
      <x:c r="A122" s="14" t="str">
        <x:v>RC-10</x:v>
      </x:c>
      <x:c r="B122" s="14" t="str">
        <x:v>RC</x:v>
      </x:c>
      <x:c r="C122" s="14" t="str">
        <x:v>Payment-System Recovery</x:v>
      </x:c>
      <x:c r="D122" s="14" t="str">
        <x:v>Where applicable, do recovery arrangements for payment-system services meet BI resilience, cyber, interoperability, and participation requirements?</x:v>
      </x:c>
      <x:c r="E122" s="14" t="str">
        <x:v>Jika berlaku, apakah pengaturan pemulihan layanan sistem pembayaran memenuhi persyaratan BI terkait ketahanan, siber, interoperabilitas, dan kepesertaan?</x:v>
      </x:c>
      <x:c r="F122" s="14" t="str">
        <x:v>Payment recovery procedures, BI participant requirements, failover tests, settlement/transaction reconciliation.</x:v>
      </x:c>
      <x:c r="G122" s="14" t="str">
        <x:v>Sample payment-system DR exercises; verify recovery, reconciliation, security and external coordination.</x:v>
      </x:c>
      <x:c r="H122" s="14" t="str">
        <x:v>PBI 10/2025; PBI 2/2024; implementing BI rules</x:v>
      </x:c>
      <x:c r="I122" s="14" t="str">
        <x:v>NIST CSF 2.0 RC.RP/RC.CO</x:v>
      </x:c>
      <x:c r="J122" s="14" t="str">
        <x:v>Conditional – Payment System</x:v>
      </x:c>
      <x:c r="K122" s="14" t="str">
        <x:v>Critical</x:v>
      </x:c>
      <x:c r="L122" s="14" t="str">
        <x:v>Not Tested</x:v>
      </x:c>
      <x:c r="M122" s="14" t="str"/>
      <x:c r="N122" s="14" t="str"/>
    </x:row>
    <x:row r="123" ht="66" customHeight="1">
      <x:c r="A123" s="14" t="str">
        <x:v>RC-11</x:v>
      </x:c>
      <x:c r="B123" s="14" t="str">
        <x:v>RC</x:v>
      </x:c>
      <x:c r="C123" s="14" t="str">
        <x:v>Post-Incident Lessons Learned</x:v>
      </x:c>
      <x:c r="D123" s="14" t="str">
        <x:v>Are post-incident reviews timely, root-cause focused, evidence-based, and converted into control, architecture, process, or training improvements?</x:v>
      </x:c>
      <x:c r="E123" s="14" t="str">
        <x:v>Apakah post-incident review dilakukan tepat waktu, fokus pada root cause, berbasis bukti, dan menghasilkan perbaikan kontrol, arsitektur, proses, atau pelatihan?</x:v>
      </x:c>
      <x:c r="F123" s="14" t="str">
        <x:v>Post-incident reviews, RCA, lessons learned, corrective actions, management approval.</x:v>
      </x:c>
      <x:c r="G123" s="14" t="str">
        <x:v>Sample significant incidents; verify actions address root cause and are tracked through independent closure.</x:v>
      </x:c>
      <x:c r="H123" s="14" t="str">
        <x:v>SEOJK 29/2022 maturity controls 4.c/4.d</x:v>
      </x:c>
      <x:c r="I123" s="14" t="str">
        <x:v>NIST CSF 2.0 ID.IM/RC.RP</x:v>
      </x:c>
      <x:c r="J123" s="14" t="str">
        <x:v>All Commercial Banks</x:v>
      </x:c>
      <x:c r="K123" s="14" t="str">
        <x:v>High</x:v>
      </x:c>
      <x:c r="L123" s="14" t="str">
        <x:v>Not Tested</x:v>
      </x:c>
      <x:c r="M123" s="14" t="str"/>
      <x:c r="N123" s="14" t="str"/>
    </x:row>
    <x:row r="124" ht="66" customHeight="1">
      <x:c r="A124" s="14" t="str">
        <x:v>RC-12</x:v>
      </x:c>
      <x:c r="B124" s="14" t="str">
        <x:v>RC</x:v>
      </x:c>
      <x:c r="C124" s="14" t="str">
        <x:v>Recovery Issue Tracking</x:v>
      </x:c>
      <x:c r="D124" s="14" t="str">
        <x:v>Are weaknesses identified during incidents, DR tests, restore tests, and exercises risk-rated, owned, time-bound, and independently validated before closure?</x:v>
      </x:c>
      <x:c r="E124" s="14" t="str">
        <x:v>Apakah kelemahan dari insiden, DR test, restore test, dan exercise diberi rating risiko, owner, target waktu, serta divalidasi independen sebelum ditutup?</x:v>
      </x:c>
      <x:c r="F124" s="14" t="str">
        <x:v>Exercise/DR issue logs, owners/dates, risk ratings, closure evidence, overdue escalation.</x:v>
      </x:c>
      <x:c r="G124" s="14" t="str">
        <x:v>Sample high-risk and overdue items; inspect root-cause remediation and closure validation.</x:v>
      </x:c>
      <x:c r="H124" s="14" t="str">
        <x:v>PADK OJK 1/2026 Lampiran I Bab IV/IX; SEOJK 29/2022 VII</x:v>
      </x:c>
      <x:c r="I124" s="14" t="str">
        <x:v>NIST CSF 2.0 ID.IM/RC.RP</x:v>
      </x:c>
      <x:c r="J124" s="14" t="str">
        <x:v>All Commercial Banks</x:v>
      </x:c>
      <x:c r="K124" s="14" t="str">
        <x:v>High</x:v>
      </x:c>
      <x:c r="L124" s="14" t="str">
        <x:v>Not Tested</x:v>
      </x:c>
      <x:c r="M124" s="14" t="str"/>
      <x:c r="N124" s="14" t="str"/>
    </x:row>
    <x:row r="125" ht="66" customHeight="1">
      <x:c r="A125" s="14" t="str">
        <x:v>RC-13</x:v>
      </x:c>
      <x:c r="B125" s="14" t="str">
        <x:v>RC</x:v>
      </x:c>
      <x:c r="C125" s="14" t="str">
        <x:v>Recovery Metrics</x:v>
      </x:c>
      <x:c r="D125" s="14" t="str">
        <x:v>Does the Bank measure recovery performance using MTTR, RTO/RPO achievement, service restoration, data reconciliation, and repeat-incident indicators?</x:v>
      </x:c>
      <x:c r="E125" s="14" t="str">
        <x:v>Apakah Bank mengukur kinerja pemulihan menggunakan MTTR, pencapaian RTO/RPO, pemulihan layanan, rekonsiliasi data, dan indikator insiden berulang?</x:v>
      </x:c>
      <x:c r="F125" s="14" t="str">
        <x:v>Recovery KPI/KRI dashboard, calculations, service reports, incident/DR trends.</x:v>
      </x:c>
      <x:c r="G125" s="14" t="str">
        <x:v>Recalculate selected metrics; compare to risk appetite/targets; inspect management action on adverse trends.</x:v>
      </x:c>
      <x:c r="H125" s="14" t="str">
        <x:v>SEOJK 29/2022 III/IV; SEOJK 24/2023</x:v>
      </x:c>
      <x:c r="I125" s="14" t="str">
        <x:v>NIST CSF 2.0 RC.RP/ID.IM</x:v>
      </x:c>
      <x:c r="J125" s="14" t="str">
        <x:v>All Commercial Banks</x:v>
      </x:c>
      <x:c r="K125" s="14" t="str">
        <x:v>Medium</x:v>
      </x:c>
      <x:c r="L125" s="14" t="str">
        <x:v>Not Tested</x:v>
      </x:c>
      <x:c r="M125" s="14" t="str"/>
      <x:c r="N125" s="14" t="str"/>
    </x:row>
    <x:row r="126" ht="66" customHeight="1">
      <x:c r="A126" s="14" t="str">
        <x:v>RC-14</x:v>
      </x:c>
      <x:c r="B126" s="14" t="str">
        <x:v>RC</x:v>
      </x:c>
      <x:c r="C126" s="14" t="str">
        <x:v>Continuous Resilience Improvement</x:v>
      </x:c>
      <x:c r="D126" s="14" t="str">
        <x:v>Does the Bank maintain a funded resilience improvement roadmap driven by incidents, exercises, maturity assessments, threat changes, audit findings, and technology changes?</x:v>
      </x:c>
      <x:c r="E126" s="14" t="str">
        <x:v>Apakah Bank memiliki roadmap peningkatan ketahanan yang didanai dan didorong oleh insiden, exercise, maturity assessment, perubahan ancaman, temuan audit, serta perubahan teknologi?</x:v>
      </x:c>
      <x:c r="F126" s="14" t="str">
        <x:v>Resilience roadmap, prioritized initiatives, funding, dependencies, milestones, benefit/risk measures.</x:v>
      </x:c>
      <x:c r="G126" s="14" t="str">
        <x:v>Trace major lessons/gaps to roadmap initiatives; assess progress, overdue milestones and residual-risk acceptance.</x:v>
      </x:c>
      <x:c r="H126" s="14" t="str">
        <x:v>SEOJK 24/2023; SEOJK 29/2022; PADK OJK 1/2026</x:v>
      </x:c>
      <x:c r="I126" s="14" t="str">
        <x:v>NIST CSF 2.0 ID.IM/GV.OV/RC.RP</x:v>
      </x:c>
      <x:c r="J126" s="14" t="str">
        <x:v>All Commercial Banks</x:v>
      </x:c>
      <x:c r="K126" s="14" t="str">
        <x:v>High</x:v>
      </x:c>
      <x:c r="L126" s="14" t="str">
        <x:v>Not Tested</x:v>
      </x:c>
      <x:c r="M126" s="14" t="str"/>
      <x:c r="N126" s="14" t="str"/>
    </x:row>
  </x:sheetData>
  <x:conditionalFormatting sqref="L2:L126">
    <x:cfRule type="expression" dxfId="0" priority="1">
      <x:formula>L2="Comply"</x:formula>
    </x:cfRule>
    <x:cfRule type="expression" dxfId="1" priority="2">
      <x:formula>L2="Partially Comply"</x:formula>
    </x:cfRule>
    <x:cfRule type="expression" dxfId="2" priority="3">
      <x:formula>L2="Non-Comply"</x:formula>
    </x:cfRule>
    <x:cfRule type="expression" dxfId="3" priority="4">
      <x:formula>L2="N/A"</x:formula>
    </x:cfRule>
  </x:conditionalFormatting>
  <x:conditionalFormatting sqref="K2:K126">
    <x:cfRule type="expression" dxfId="4" priority="5">
      <x:formula>K2="Critical"</x:formula>
    </x:cfRule>
    <x:cfRule type="expression" dxfId="5" priority="6">
      <x:formula>K2="High"</x:formula>
    </x:cfRule>
  </x:conditionalFormatting>
  <x:dataValidations count="2">
    <x:dataValidation type="list" sqref="L2:L126">
      <x:formula1>"Not Tested,Comply,Partially Comply,Non-Comply,N/A"</x:formula1>
    </x:dataValidation>
    <x:dataValidation type="list" sqref="K2:K126">
      <x:formula1>"Critical,High,Medium,Low"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d913eece894981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4" max="4" width="24" hidden="0" customWidth="1"/>
    <x:col min="5" max="5" width="14" hidden="0" customWidth="1"/>
    <x:col min="6" max="6" width="14" hidden="0" customWidth="1"/>
  </x:cols>
  <x:sheetData>
    <x:row r="1" ht="30" customHeight="1">
      <x:c r="A1" s="18" t="str">
        <x:v>Cybersecurity Checklist for Auditee — v3 Dashboard</x:v>
      </x:c>
      <x:c r="B1" s="18"/>
      <x:c r="C1" s="18"/>
      <x:c r="D1" s="18"/>
      <x:c r="E1" s="18"/>
      <x:c r="F1" s="18"/>
      <x:c r="G1" s="18"/>
      <x:c r="H1" s="18"/>
    </x:row>
    <x:row r="2">
      <x:c r="A2" s="22" t="str">
        <x:v>Regulatory baseline reviewed: 15 August 2026 | 125 audit controls | NIST CSF 2.0 taxonomy</x:v>
      </x:c>
      <x:c r="B2" s="22"/>
      <x:c r="C2" s="22"/>
      <x:c r="D2" s="22"/>
      <x:c r="E2" s="22"/>
      <x:c r="F2" s="22"/>
      <x:c r="G2" s="22"/>
      <x:c r="H2" s="22"/>
    </x:row>
    <x:row r="4">
      <x:c r="A4" s="30" t="str">
        <x:v>KPI</x:v>
      </x:c>
      <x:c r="B4" s="30" t="str">
        <x:v>Value</x:v>
      </x:c>
      <x:c r="D4" s="25" t="str">
        <x:v>Function</x:v>
      </x:c>
      <x:c r="E4" s="25" t="str">
        <x:v>Controls</x:v>
      </x:c>
      <x:c r="F4" s="25" t="str">
        <x:v>Non-Comply</x:v>
      </x:c>
    </x:row>
    <x:row r="5">
      <x:c r="A5" s="31" t="str">
        <x:v>Total Controls</x:v>
      </x:c>
      <x:c r="B5" s="12" t="n">
        <x:f>COUNTA('Checklist v3'!$A$2:$A$126)</x:f>
        <x:v>125</x:v>
      </x:c>
      <x:c r="D5" t="str">
        <x:v>GV — Govern</x:v>
      </x:c>
      <x:c r="E5" t="n">
        <x:f>COUNTIF('Checklist v3'!$B$2:$B$126,"GV")</x:f>
        <x:v>20</x:v>
      </x:c>
      <x:c r="F5" t="n">
        <x:f>COUNTIFS('Checklist v3'!$B$2:$B$126,"GV",'Checklist v3'!$L$2:$L$126,"Non-Comply")</x:f>
        <x:v>0</x:v>
      </x:c>
    </x:row>
    <x:row r="6">
      <x:c r="A6" s="31" t="str">
        <x:v>Not Tested</x:v>
      </x:c>
      <x:c r="B6" s="12" t="n">
        <x:f>COUNTIF('Checklist v3'!$L$2:$L$126,"Not Tested")</x:f>
        <x:v>125</x:v>
      </x:c>
      <x:c r="D6" t="str">
        <x:v>ID — Identify</x:v>
      </x:c>
      <x:c r="E6" t="n">
        <x:f>COUNTIF('Checklist v3'!$B$2:$B$126,"ID")</x:f>
        <x:v>18</x:v>
      </x:c>
      <x:c r="F6" t="n">
        <x:f>COUNTIFS('Checklist v3'!$B$2:$B$126,"ID",'Checklist v3'!$L$2:$L$126,"Non-Comply")</x:f>
        <x:v>0</x:v>
      </x:c>
    </x:row>
    <x:row r="7">
      <x:c r="A7" s="31" t="str">
        <x:v>Comply</x:v>
      </x:c>
      <x:c r="B7" s="12" t="n">
        <x:f>COUNTIF('Checklist v3'!$L$2:$L$126,"Comply")</x:f>
        <x:v>0</x:v>
      </x:c>
      <x:c r="D7" t="str">
        <x:v>PR — Protect</x:v>
      </x:c>
      <x:c r="E7" t="n">
        <x:f>COUNTIF('Checklist v3'!$B$2:$B$126,"PR")</x:f>
        <x:v>39</x:v>
      </x:c>
      <x:c r="F7" t="n">
        <x:f>COUNTIFS('Checklist v3'!$B$2:$B$126,"PR",'Checklist v3'!$L$2:$L$126,"Non-Comply")</x:f>
        <x:v>0</x:v>
      </x:c>
    </x:row>
    <x:row r="8">
      <x:c r="A8" s="31" t="str">
        <x:v>Partially Comply</x:v>
      </x:c>
      <x:c r="B8" s="12" t="n">
        <x:f>COUNTIF('Checklist v3'!$L$2:$L$126,"Partially Comply")</x:f>
        <x:v>0</x:v>
      </x:c>
      <x:c r="D8" t="str">
        <x:v>DE — Detect</x:v>
      </x:c>
      <x:c r="E8" t="n">
        <x:f>COUNTIF('Checklist v3'!$B$2:$B$126,"DE")</x:f>
        <x:v>18</x:v>
      </x:c>
      <x:c r="F8" t="n">
        <x:f>COUNTIFS('Checklist v3'!$B$2:$B$126,"DE",'Checklist v3'!$L$2:$L$126,"Non-Comply")</x:f>
        <x:v>0</x:v>
      </x:c>
    </x:row>
    <x:row r="9">
      <x:c r="A9" s="31" t="str">
        <x:v>Non-Comply</x:v>
      </x:c>
      <x:c r="B9" s="12" t="n">
        <x:f>COUNTIF('Checklist v3'!$L$2:$L$126,"Non-Comply")</x:f>
        <x:v>0</x:v>
      </x:c>
      <x:c r="D9" t="str">
        <x:v>RS — Respond</x:v>
      </x:c>
      <x:c r="E9" t="n">
        <x:f>COUNTIF('Checklist v3'!$B$2:$B$126,"RS")</x:f>
        <x:v>16</x:v>
      </x:c>
      <x:c r="F9" t="n">
        <x:f>COUNTIFS('Checklist v3'!$B$2:$B$126,"RS",'Checklist v3'!$L$2:$L$126,"Non-Comply")</x:f>
        <x:v>0</x:v>
      </x:c>
    </x:row>
    <x:row r="10">
      <x:c r="A10" s="31" t="str">
        <x:v>N/A</x:v>
      </x:c>
      <x:c r="B10" s="12" t="n">
        <x:f>COUNTIF('Checklist v3'!$L$2:$L$126,"N/A")</x:f>
        <x:v>0</x:v>
      </x:c>
      <x:c r="D10" t="str">
        <x:v>RC — Recover</x:v>
      </x:c>
      <x:c r="E10" t="n">
        <x:f>COUNTIF('Checklist v3'!$B$2:$B$126,"RC")</x:f>
        <x:v>14</x:v>
      </x:c>
      <x:c r="F10" t="n">
        <x:f>COUNTIFS('Checklist v3'!$B$2:$B$126,"RC",'Checklist v3'!$L$2:$L$126,"Non-Comply")</x:f>
        <x:v>0</x:v>
      </x:c>
    </x:row>
    <x:row r="11">
      <x:c r="A11" s="31" t="str">
        <x:v>Assessed Controls</x:v>
      </x:c>
      <x:c r="B11" s="12" t="n">
        <x:f>COUNTIF('Checklist v3'!$L$2:$L$126,"&lt;&gt;Not Tested")-COUNTIF('Checklist v3'!$L$2:$L$126,"N/A")</x:f>
        <x:v>0</x:v>
      </x:c>
    </x:row>
    <x:row r="12">
      <x:c r="A12" s="31" t="str">
        <x:v>Critical/High Non-Comply</x:v>
      </x:c>
      <x:c r="B12" s="12" t="n">
        <x:f>COUNTIFS('Checklist v3'!$L$2:$L$126,"Non-Comply",'Checklist v3'!$K$2:$K$126,"Critical")+COUNTIFS('Checklist v3'!$L$2:$L$126,"Non-Comply",'Checklist v3'!$K$2:$K$126,"High")</x:f>
        <x:v>0</x:v>
      </x:c>
    </x:row>
    <x:row r="13">
      <x:c r="D13" s="25" t="str">
        <x:v>Result</x:v>
      </x:c>
      <x:c r="E13" s="25" t="str">
        <x:v>Count</x:v>
      </x:c>
    </x:row>
    <x:row r="14">
      <x:c r="D14" t="str">
        <x:v>Comply</x:v>
      </x:c>
      <x:c r="E14" t="n">
        <x:f>COUNTIF('Checklist v3'!$L$2:$L$126,"Comply")</x:f>
        <x:v>0</x:v>
      </x:c>
    </x:row>
    <x:row r="15">
      <x:c r="D15" t="str">
        <x:v>Partially Comply</x:v>
      </x:c>
      <x:c r="E15" t="n">
        <x:f>COUNTIF('Checklist v3'!$L$2:$L$126,"Partially Comply")</x:f>
        <x:v>0</x:v>
      </x:c>
    </x:row>
    <x:row r="16">
      <x:c r="D16" t="str">
        <x:v>Non-Comply</x:v>
      </x:c>
      <x:c r="E16" t="n">
        <x:f>COUNTIF('Checklist v3'!$L$2:$L$126,"Non-Comply")</x:f>
        <x:v>0</x:v>
      </x:c>
    </x:row>
    <x:row r="17">
      <x:c r="D17" t="str">
        <x:v>Not Tested</x:v>
      </x:c>
      <x:c r="E17" t="n">
        <x:f>COUNTIF('Checklist v3'!$L$2:$L$126,"Not Tested")</x:f>
        <x:v>125</x:v>
      </x:c>
    </x:row>
    <x:row r="18">
      <x:c r="D18" t="str">
        <x:v>N/A</x:v>
      </x:c>
      <x:c r="E18" t="n">
        <x:f>COUNTIF('Checklist v3'!$L$2:$L$126,"N/A")</x:f>
        <x:v>0</x:v>
      </x:c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7d9baa97ac254b31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2" hidden="0" customWidth="1"/>
    <x:col min="3" max="3" width="46" hidden="0" customWidth="1"/>
    <x:col min="4" max="4" width="46" hidden="0" customWidth="1"/>
    <x:col min="5" max="5" width="58" hidden="0" customWidth="1"/>
  </x:cols>
  <x:sheetData>
    <x:row r="1" ht="30" customHeight="1">
      <x:c r="A1" s="6" t="str">
        <x:v>Status</x:v>
      </x:c>
      <x:c r="B1" s="6" t="str">
        <x:v>Regulation / Framework</x:v>
      </x:c>
      <x:c r="C1" s="6" t="str">
        <x:v>Scope / Use</x:v>
      </x:c>
      <x:c r="D1" s="6" t="str">
        <x:v>Notes</x:v>
      </x:c>
      <x:c r="E1" s="6" t="str">
        <x:v>Official / Primary Source</x:v>
      </x:c>
    </x:row>
    <x:row r="2" ht="52" customHeight="1">
      <x:c r="A2" s="14" t="str">
        <x:v>CURRENT / PRIMARY</x:v>
      </x:c>
      <x:c r="B2" s="14" t="str">
        <x:v>PADK OJK No. 1 Tahun 2026 — Penyelenggaraan Teknologi Informasi oleh Bank Umum</x:v>
      </x:c>
      <x:c r="C2" s="14" t="str">
        <x:v>All commercial banks; IT governance, architecture/strategy, IT risk/security, PPJTI, overseas processing, data/PDP, internal control/audit, reporting.</x:v>
      </x:c>
      <x:c r="D2" s="14" t="str">
        <x:v>Effective 1 Mar 2026; repeals SEOJK 21/SEOJK.03/2017.</x:v>
      </x:c>
      <x:c r="E2" s="14" t="str">
        <x:v>https://ojk.go.id/id/regulasi/Pages/PADK-1-Tahun-2026-Penyelenggaraan-Teknologi-Informasi-oleh-Bank-Umum.aspx</x:v>
      </x:c>
    </x:row>
    <x:row r="3" ht="52" customHeight="1">
      <x:c r="A3" s="14" t="str">
        <x:v>CURRENT / PRIMARY</x:v>
      </x:c>
      <x:c r="B3" s="14" t="str">
        <x:v>POJK No. 11/POJK.03/2022 — Penyelenggaraan Teknologi Informasi oleh Bank Umum</x:v>
      </x:c>
      <x:c r="C3" s="14" t="str">
        <x:v>Principal OJK regulation underpinning IT implementation by commercial banks.</x:v>
      </x:c>
      <x:c r="D3" s="14" t="str">
        <x:v>Use together with PADK OJK No. 1 Tahun 2026.</x:v>
      </x:c>
      <x:c r="E3" s="14" t="str">
        <x:v>https://ojk.go.id/id/regulasi/Pages/Penyelenggaraan-Teknologi-Informasi-Oleh-Bank-Umum.aspx</x:v>
      </x:c>
    </x:row>
    <x:row r="4" ht="52" customHeight="1">
      <x:c r="A4" s="14" t="str">
        <x:v>CURRENT / PRIMARY</x:v>
      </x:c>
      <x:c r="B4" s="14" t="str">
        <x:v>SEOJK No. 29/SEOJK.03/2022 — Ketahanan dan Keamanan Siber Bagi Bank Umum</x:v>
      </x:c>
      <x:c r="C4" s="14" t="str">
        <x:v>Cyber inherent risk, maturity, protection/detection/response/recovery, testing and incident reporting.</x:v>
      </x:c>
      <x:c r="D4" s="14" t="str">
        <x:v>OJK: initial incident notification ≤24h; complete cyber incident report ≤5 working days; scenario-test report ≤10 working days after test report completion.</x:v>
      </x:c>
      <x:c r="E4" s="14" t="str">
        <x:v>https://www.ojk.go.id/id/regulasi/Pages/Ketahanan-dan-Keamanan-Siber-Bagi-Bank-Umum.aspx</x:v>
      </x:c>
    </x:row>
    <x:row r="5" ht="52" customHeight="1">
      <x:c r="A5" s="14" t="str">
        <x:v>CURRENT / PRIMARY</x:v>
      </x:c>
      <x:c r="B5" s="14" t="str">
        <x:v>SEOJK No. 24/SEOJK.03/2023 — Penilaian Tingkat Maturitas Digital Bank Umum</x:v>
      </x:c>
      <x:c r="C5" s="14" t="str">
        <x:v>Annual digital maturity across governance, architecture, IT risk, cyber, technology, data, collaboration and consumer protection.</x:v>
      </x:c>
      <x:c r="D5" s="14" t="str">
        <x:v>Integrate with supervisory scoping and maturity review.</x:v>
      </x:c>
      <x:c r="E5" s="14" t="str">
        <x:v>https://ojk.go.id/id/regulasi/Pages/Penilaian-Tingkat-Maturitas-Digital-Bank-Umum.aspx</x:v>
      </x:c>
    </x:row>
    <x:row r="6" ht="52" customHeight="1">
      <x:c r="A6" s="14" t="str">
        <x:v>CURRENT / PRIMARY</x:v>
      </x:c>
      <x:c r="B6" s="14" t="str">
        <x:v>POJK No. 17 Tahun 2023 — Penerapan Tata Kelola Bagi Bank Umum</x:v>
      </x:c>
      <x:c r="C6" s="14" t="str">
        <x:v>Board/governance, risk oversight, internal control and audit overlay.</x:v>
      </x:c>
      <x:c r="D6" s="14" t="str">
        <x:v>Use for governance/accountability controls.</x:v>
      </x:c>
      <x:c r="E6" s="14" t="str">
        <x:v>https://ojk.go.id/id/regulasi/Pages/Penerapan-Tata-Kelola-Bagi-Bank-Umum.aspx</x:v>
      </x:c>
    </x:row>
    <x:row r="7" ht="52" customHeight="1">
      <x:c r="A7" s="14" t="str">
        <x:v>CURRENT / PRIMARY</x:v>
      </x:c>
      <x:c r="B7" s="14" t="str">
        <x:v>POJK No. 21 Tahun 2023 — Layanan Digital oleh Bank Umum</x:v>
      </x:c>
      <x:c r="C7" s="14" t="str">
        <x:v>Digital services, customer authentication, partner and digital-service risk controls.</x:v>
      </x:c>
      <x:c r="D7" s="14" t="str">
        <x:v>Apply to relevant digital services.</x:v>
      </x:c>
      <x:c r="E7" s="14" t="str">
        <x:v>https://ojk.go.id/id/regulasi/Pages/Layanan-Digital-oleh-Bank-Umum.aspx</x:v>
      </x:c>
    </x:row>
    <x:row r="8" ht="52" customHeight="1">
      <x:c r="A8" s="14" t="str">
        <x:v>CURRENT / PRIMARY</x:v>
      </x:c>
      <x:c r="B8" s="14" t="str">
        <x:v>POJK No. 22 Tahun 2023 — Pelindungan Konsumen dan Masyarakat di Sektor Jasa Keuangan</x:v>
      </x:c>
      <x:c r="C8" s="14" t="str">
        <x:v>Consumer protection, customer communication, complaints and digital-event overlays.</x:v>
      </x:c>
      <x:c r="D8" s="14" t="str">
        <x:v>Apply where cyber/IT events affect customers or service delivery.</x:v>
      </x:c>
      <x:c r="E8" s="14" t="str">
        <x:v>https://ojk.go.id/id/regulasi/Pages/Pelindungan-Konsumen-dan-Masyarakat-di-Sektor-Jasa-Keuangan.aspx</x:v>
      </x:c>
    </x:row>
    <x:row r="9" ht="52" customHeight="1">
      <x:c r="A9" s="14" t="str">
        <x:v>CURRENT / PRIMARY</x:v>
      </x:c>
      <x:c r="B9" s="14" t="str">
        <x:v>UU No. 27 Tahun 2022 — Pelindungan Data Pribadi</x:v>
      </x:c>
      <x:c r="C9" s="14" t="str">
        <x:v>Personal-data governance, lawful basis/consent, rights, processors, breach response and DPO/privacy governance where required.</x:v>
      </x:c>
      <x:c r="D9" s="14" t="str">
        <x:v>Read with applicable Constitutional Court decisions, including Putusan MK No. 151/PUU-XXII/2024.</x:v>
      </x:c>
      <x:c r="E9" s="14" t="str">
        <x:v>https://peraturan.bpk.go.id/Details/229798/uu-no-27-tahun-2022</x:v>
      </x:c>
    </x:row>
    <x:row r="10" ht="52" customHeight="1">
      <x:c r="A10" s="14" t="str">
        <x:v>CONDITIONAL — BI / PAYMENT SYSTEM</x:v>
      </x:c>
      <x:c r="B10" s="14" t="str">
        <x:v>PBI No. 2 Tahun 2024 — Keamanan Sistem Informasi dan Ketahanan Siber (KKS)</x:v>
      </x:c>
      <x:c r="C10" s="14" t="str">
        <x:v>BI/payment-system cyber governance, risk, protection, detection, response, recovery and testing.</x:v>
      </x:c>
      <x:c r="D10" s="14" t="str">
        <x:v>Apply based on BI regulatory perimeter/classification.</x:v>
      </x:c>
      <x:c r="E10" s="14" t="str">
        <x:v>https://www.bi.go.id/id/publikasi/peraturan/Pages/PBI_022024.aspx</x:v>
      </x:c>
    </x:row>
    <x:row r="11" ht="52" customHeight="1">
      <x:c r="A11" s="14" t="str">
        <x:v>CONDITIONAL — BI / PAYMENT SYSTEM</x:v>
      </x:c>
      <x:c r="B11" s="14" t="str">
        <x:v>PADG No. 24 Tahun 2024</x:v>
      </x:c>
      <x:c r="C11" s="14" t="str">
        <x:v>Detailed implementation/reporting for BI KKS requirements.</x:v>
      </x:c>
      <x:c r="D11" s="14" t="str">
        <x:v>Apply based on BI regulatory perimeter/classification.</x:v>
      </x:c>
      <x:c r="E11" s="14" t="str">
        <x:v>https://www.bi.go.id/id/publikasi/peraturan/Pages/PADG_242024.aspx</x:v>
      </x:c>
    </x:row>
    <x:row r="12" ht="52" customHeight="1">
      <x:c r="A12" s="14" t="str">
        <x:v>CONDITIONAL — BI / PAYMENT SYSTEM</x:v>
      </x:c>
      <x:c r="B12" s="14" t="str">
        <x:v>PBI No. 10 Tahun 2025 — Pengaturan Industri Sistem Pembayaran</x:v>
      </x:c>
      <x:c r="C12" s="14" t="str">
        <x:v>Payment-system structure, risk, infrastructure capability, security and reliability.</x:v>
      </x:c>
      <x:c r="D12" s="14" t="str">
        <x:v>Effective 31 Mar 2026; apply to relevant activities.</x:v>
      </x:c>
      <x:c r="E12" s="14" t="str">
        <x:v>https://www.bi.go.id/id/publikasi/peraturan/Pages/PBI_102025.aspx</x:v>
      </x:c>
    </x:row>
    <x:row r="13" ht="52" customHeight="1">
      <x:c r="A13" s="14" t="str">
        <x:v>CONDITIONAL — BI / PAYMENT SYSTEM</x:v>
      </x:c>
      <x:c r="B13" s="14" t="str">
        <x:v>PADG No. 32 Tahun 2025</x:v>
      </x:c>
      <x:c r="C13" s="14" t="str">
        <x:v>Implementation of PBI No. 10 Tahun 2025.</x:v>
      </x:c>
      <x:c r="D13" s="14" t="str">
        <x:v>Effective 31 Mar 2026; applicability depends on entity/activity.</x:v>
      </x:c>
      <x:c r="E13" s="14" t="str">
        <x:v>https://www.bi.go.id/id/publikasi/peraturan/Pages/PADG_322025.aspx</x:v>
      </x:c>
    </x:row>
    <x:row r="14" ht="52" customHeight="1">
      <x:c r="A14" s="14" t="str">
        <x:v>CONDITIONAL — BI-FAST</x:v>
      </x:c>
      <x:c r="B14" s="14" t="str">
        <x:v>PADG No. 3 Tahun 2026 — Perubahan Ketiga Penyelenggaraan BI-FAST</x:v>
      </x:c>
      <x:c r="C14" s="14" t="str">
        <x:v>BI-FAST participation, providers, operations, TIKMI and strengthened security.</x:v>
      </x:c>
      <x:c r="D14" s="14" t="str">
        <x:v>Effective 31 Mar 2026; apply to BI-FAST participants/relevant arrangements.</x:v>
      </x:c>
      <x:c r="E14" s="14" t="str">
        <x:v>https://www.bi.go.id/id/publikasi/peraturan/Pages/PADG_032026.aspx</x:v>
      </x:c>
    </x:row>
    <x:row r="15" ht="52" customHeight="1">
      <x:c r="A15" s="14" t="str">
        <x:v>CURRENT / FRAMEWORK</x:v>
      </x:c>
      <x:c r="B15" s="14" t="str">
        <x:v>NIST Cybersecurity Framework (CSF) 2.0</x:v>
      </x:c>
      <x:c r="C15" s="14" t="str">
        <x:v>Primary v3 taxonomy: Govern, Identify, Protect, Detect, Respond, Recover.</x:v>
      </x:c>
      <x:c r="D15" s="14" t="str">
        <x:v>Replaces CSF v1.1 mapping in v3.</x:v>
      </x:c>
      <x:c r="E15" s="14" t="str">
        <x:v>https://www.nist.gov/cyberframework</x:v>
      </x:c>
    </x:row>
    <x:row r="16" ht="52" customHeight="1">
      <x:c r="A16" s="14" t="str">
        <x:v>CURRENT / FRAMEWORK</x:v>
      </x:c>
      <x:c r="B16" s="14" t="str">
        <x:v>CIS Critical Security Controls v8.1</x:v>
      </x:c>
      <x:c r="C16" s="14" t="str">
        <x:v>Technical safeguards and cross-mapping.</x:v>
      </x:c>
      <x:c r="D16" s="14" t="str">
        <x:v>v8.1 aligns mappings with NIST CSF 2.0.</x:v>
      </x:c>
      <x:c r="E16" s="14" t="str">
        <x:v>https://www.cisecurity.org/controls/v8-1</x:v>
      </x:c>
    </x:row>
    <x:row r="17" ht="52" customHeight="1">
      <x:c r="A17" s="14" t="str">
        <x:v>CURRENT / FRAMEWORK</x:v>
      </x:c>
      <x:c r="B17" s="14" t="str">
        <x:v>ISO/IEC 27001:2022 / ISO/IEC 27002:2022</x:v>
      </x:c>
      <x:c r="C17" s="14" t="str">
        <x:v>ISMS governance and security controls.</x:v>
      </x:c>
      <x:c r="D17" s="14" t="str">
        <x:v>Supplementary international mapping.</x:v>
      </x:c>
      <x:c r="E17" s="14" t="str">
        <x:v>https://www.iso.org/standard/27001</x:v>
      </x:c>
    </x:row>
    <x:row r="18" ht="52" customHeight="1">
      <x:c r="A18" s="14" t="str">
        <x:v>CURRENT / FRAMEWORK</x:v>
      </x:c>
      <x:c r="B18" s="14" t="str">
        <x:v>ISO 22301:2019</x:v>
      </x:c>
      <x:c r="C18" s="14" t="str">
        <x:v>Business continuity and resilience.</x:v>
      </x:c>
      <x:c r="D18" s="14" t="str">
        <x:v>Used for BCP/DR and recovery controls.</x:v>
      </x:c>
      <x:c r="E18" s="14" t="str">
        <x:v>https://www.iso.org/standard/75106.html</x:v>
      </x:c>
    </x:row>
    <x:row r="19" ht="52" customHeight="1">
      <x:c r="A19" s="14" t="str">
        <x:v>CURRENT / FRAMEWORK</x:v>
      </x:c>
      <x:c r="B19" s="14" t="str">
        <x:v>Basel Committee — Principles for Operational Resilience (2021)</x:v>
      </x:c>
      <x:c r="C19" s="14" t="str">
        <x:v>Operational resilience and third-party dependencies.</x:v>
      </x:c>
      <x:c r="D19" s="14" t="str">
        <x:v>Supplementary supervisory reference.</x:v>
      </x:c>
      <x:c r="E19" s="14" t="str">
        <x:v>https://www.bis.org/bcbs/publ/d516.htm</x:v>
      </x:c>
    </x:row>
    <x:row r="20" ht="52" customHeight="1">
      <x:c r="A20" s="14" t="str">
        <x:v>CURRENT / FRAMEWORK</x:v>
      </x:c>
      <x:c r="B20" s="14" t="str">
        <x:v>MAS Technology Risk Management Guidelines (2021)</x:v>
      </x:c>
      <x:c r="C20" s="14" t="str">
        <x:v>Regional banking technology-risk benchmark.</x:v>
      </x:c>
      <x:c r="D20" s="14" t="str">
        <x:v>Supplementary/non-Indonesian benchmark.</x:v>
      </x:c>
      <x:c r="E20" s="14" t="str">
        <x:v>https://www.mas.gov.sg/regulation/guidelines/technology-risk-management-guidelines</x:v>
      </x:c>
    </x:row>
    <x:row r="21" ht="52" customHeight="1">
      <x:c r="A21" s="14" t="str">
        <x:v>CURRENT / FRAMEWORK</x:v>
      </x:c>
      <x:c r="B21" s="14" t="str">
        <x:v>NIST SP 800-228 Update 1</x:v>
      </x:c>
      <x:c r="C21" s="14" t="str">
        <x:v>API inventory, lifecycle, risk categories and controls.</x:v>
      </x:c>
      <x:c r="D21" s="14" t="str">
        <x:v>Update 1 incorporates 2026 updates and API risk/control appendices.</x:v>
      </x:c>
      <x:c r="E21" s="14" t="str">
        <x:v>https://csrc.nist.gov/pubs/sp/800/228/upd1/final</x:v>
      </x:c>
    </x:row>
    <x:row r="22" ht="52" customHeight="1">
      <x:c r="A22" s="14" t="str">
        <x:v>CURRENT / FRAMEWORK</x:v>
      </x:c>
      <x:c r="B22" s="14" t="str">
        <x:v>NIST SP 800-207 — Zero Trust Architecture</x:v>
      </x:c>
      <x:c r="C22" s="14" t="str">
        <x:v>Zero-trust architecture and access-control benchmark.</x:v>
      </x:c>
      <x:c r="D22" s="14" t="str">
        <x:v>Supplementary technical benchmark.</x:v>
      </x:c>
      <x:c r="E22" s="14" t="str">
        <x:v>https://csrc.nist.gov/pubs/sp/800/207/final</x:v>
      </x:c>
    </x:row>
    <x:row r="23" ht="52" customHeight="1">
      <x:c r="A23" s="14" t="str">
        <x:v>CURRENT / FRAMEWORK</x:v>
      </x:c>
      <x:c r="B23" s="14" t="str">
        <x:v>NIST SP 800-161 Rev.1 — Cybersecurity Supply Chain Risk Management</x:v>
      </x:c>
      <x:c r="C23" s="14" t="str">
        <x:v>Third-party and technology supply-chain risk.</x:v>
      </x:c>
      <x:c r="D23" s="14" t="str">
        <x:v>Supplementary technical benchmark.</x:v>
      </x:c>
      <x:c r="E23" s="14" t="str">
        <x:v>https://csrc.nist.gov/pubs/sp/800/161/r1/final</x:v>
      </x:c>
    </x:row>
    <x:row r="24" ht="52" customHeight="1">
      <x:c r="A24" s="14" t="str">
        <x:v>LEGACY / DO NOT USE AS CURRENT REQUIREMENT</x:v>
      </x:c>
      <x:c r="B24" s="14" t="str">
        <x:v>SEOJK No. 21/SEOJK.03/2017</x:v>
      </x:c>
      <x:c r="C24" s="14" t="str">
        <x:v>Historical IT-risk guidance.</x:v>
      </x:c>
      <x:c r="D24" s="14" t="str">
        <x:v>Repealed by PADK OJK No. 1 Tahun 2026 from 1 Mar 2026.</x:v>
      </x:c>
      <x:c r="E24" s="14" t="str">
        <x:v>https://ojk.go.id/id/regulasi/Pages/SEOJK-tentang-Penerapan-Manajemen-Risiko-dalam-Penggunaan-Teknologi-Informasi-Oleh-Bank-Umum.aspx</x:v>
      </x:c>
    </x:row>
    <x:row r="25" ht="52" customHeight="1">
      <x:c r="A25" s="14" t="str">
        <x:v>LEGACY / SUPPLEMENTARY</x:v>
      </x:c>
      <x:c r="B25" s="14" t="str">
        <x:v>FFIEC Cybersecurity Assessment Tool (CAT)</x:v>
      </x:c>
      <x:c r="C25" s="14" t="str">
        <x:v>Historical benchmarking only.</x:v>
      </x:c>
      <x:c r="D25" s="14" t="str">
        <x:v>FFIEC sunset CAT on 31 Aug 2025; do not use as a primary current framework.</x:v>
      </x:c>
      <x:c r="E25" s="14" t="str">
        <x:v>https://www.ffiec.gov/cyberassessmenttool.htm</x:v>
      </x:c>
    </x:row>
  </x:sheetData>
  <x:pageMargins left="0.7" right="0.7" top="0.75" bottom="0.75" header="0.3" footer="0.3"/>
  <x:tableParts count="1">
    <x:tablePart xmlns:r="http://schemas.openxmlformats.org/officeDocument/2006/relationships" r:id="Re8dc69e13fbe43f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95" hidden="0" customWidth="1"/>
  </x:cols>
  <x:sheetData>
    <x:row r="1" ht="30" customHeight="1">
      <x:c r="A1" s="34" t="str">
        <x:v>Cybersecurity Checklist for Auditee — v3 | Instructions</x:v>
      </x:c>
      <x:c r="B1" s="34"/>
      <x:c r="C1" s="34"/>
      <x:c r="D1" s="34"/>
      <x:c r="E1" s="34"/>
      <x:c r="F1" s="34"/>
    </x:row>
    <x:row r="3" ht="42" customHeight="1">
      <x:c r="A3" s="36" t="str">
        <x:v>Version</x:v>
      </x:c>
      <x:c r="B3" s="14" t="str">
        <x:v>v3</x:v>
      </x:c>
    </x:row>
    <x:row r="4" ht="42" customHeight="1">
      <x:c r="A4" s="36" t="str">
        <x:v>Regulatory baseline reviewed</x:v>
      </x:c>
      <x:c r="B4" s="14" t="str">
        <x:v>15 August 2026</x:v>
      </x:c>
    </x:row>
    <x:row r="5" ht="42" customHeight="1">
      <x:c r="A5" s="36" t="str">
        <x:v>Control count</x:v>
      </x:c>
      <x:c r="B5" s="14" t="str">
        <x:v>125</x:v>
      </x:c>
    </x:row>
    <x:row r="6" ht="42" customHeight="1">
      <x:c r="A6" s="36" t="str">
        <x:v>Primary taxonomy</x:v>
      </x:c>
      <x:c r="B6" s="14" t="str">
        <x:v>NIST CSF 2.0 — Govern / Identify / Protect / Detect / Respond / Recover</x:v>
      </x:c>
    </x:row>
    <x:row r="7" ht="42" customHeight="1">
      <x:c r="A7" s="36" t="str"/>
      <x:c r="B7" s="14" t="str"/>
    </x:row>
    <x:row r="8" ht="42" customHeight="1">
      <x:c r="A8" s="36" t="str">
        <x:v>How to use</x:v>
      </x:c>
      <x:c r="B8" s="14" t="str">
        <x:v>1) Confirm auditee scope and regulatory perimeter. 2) Filter controls by applicability/function/domain/risk. 3) Obtain expected evidence. 4) Perform the documented test procedure with appropriate sampling. 5) Record Result, Auditor Notes, and Finding Reference. 6) Revalidate exact regulation text before formal breach citation.</x:v>
      </x:c>
    </x:row>
    <x:row r="9" ht="42" customHeight="1">
      <x:c r="A9" s="36" t="str">
        <x:v>Result — Comply</x:v>
      </x:c>
      <x:c r="B9" s="14" t="str">
        <x:v>Control is designed and operating effectively based on evidence tested.</x:v>
      </x:c>
    </x:row>
    <x:row r="10" ht="42" customHeight="1">
      <x:c r="A10" s="36" t="str">
        <x:v>Result — Partially Comply</x:v>
      </x:c>
      <x:c r="B10" s="14" t="str">
        <x:v>Control exists but design, coverage, timeliness or operating effectiveness is incomplete.</x:v>
      </x:c>
    </x:row>
    <x:row r="11" ht="42" customHeight="1">
      <x:c r="A11" s="36" t="str">
        <x:v>Result — Non-Comply</x:v>
      </x:c>
      <x:c r="B11" s="14" t="str">
        <x:v>Required/expected control is absent or materially ineffective.</x:v>
      </x:c>
    </x:row>
    <x:row r="12" ht="42" customHeight="1">
      <x:c r="A12" s="36" t="str">
        <x:v>Result — N/A</x:v>
      </x:c>
      <x:c r="B12" s="14" t="str">
        <x:v>Control is demonstrably outside the auditee's applicable scope.</x:v>
      </x:c>
    </x:row>
    <x:row r="13" ht="42" customHeight="1">
      <x:c r="A13" s="36" t="str">
        <x:v>Result — Not Tested</x:v>
      </x:c>
      <x:c r="B13" s="14" t="str">
        <x:v>No audit conclusion has yet been reached.</x:v>
      </x:c>
    </x:row>
    <x:row r="14" ht="42" customHeight="1">
      <x:c r="A14" s="36" t="str">
        <x:v>Risk ratings</x:v>
      </x:c>
      <x:c r="B14" s="14" t="str">
        <x:v>Critical/High/Medium/Low are default audit-prioritization indicators, not automatic finding ratings. Final rating should consider actual exposure, affected assets/customers, duration, compensating controls and regulatory impact.</x:v>
      </x:c>
    </x:row>
    <x:row r="15" ht="42" customHeight="1">
      <x:c r="A15" s="36" t="str">
        <x:v>Applicability</x:v>
      </x:c>
      <x:c r="B15" s="14" t="str">
        <x:v>Controls marked Conditional — BI / Payment System / BI-FAST must only be applied after confirming the auditee's actual BI licensing, activities, infrastructure participation and regulatory classification.</x:v>
      </x:c>
    </x:row>
    <x:row r="16" ht="42" customHeight="1">
      <x:c r="A16" s="36" t="str">
        <x:v>Regulatory caution</x:v>
      </x:c>
      <x:c r="B16" s="14" t="str">
        <x:v>This workbook is an audit/supervisory aid, not a legal opinion. Before a formal finding, verify the exact operative provision, scope, effective date, transition/exemption, and official reporting instruction applicable to the auditee.</x:v>
      </x:c>
    </x:row>
  </x:sheetData>
  <x:mergeCells>
    <x:mergeCell ref="A1:F1"/>
  </x:mergeCells>
  <x:pageMargins left="0.7" right="0.7" top="0.75" bottom="0.75" header="0.3" footer="0.3"/>
</x:worksheet>
</file>